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8ff67f3dd94f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52b1b4e24644d87"/>
    <x:sheet xmlns:r="http://schemas.openxmlformats.org/officeDocument/2006/relationships" name="A Universal" sheetId="2" r:id="R1251aa55c3544831"/>
    <x:sheet xmlns:r="http://schemas.openxmlformats.org/officeDocument/2006/relationships" name="B Industry" sheetId="3" r:id="R2ce3225dbc6345f6"/>
    <x:sheet xmlns:r="http://schemas.openxmlformats.org/officeDocument/2006/relationships" name="C Enterprise" sheetId="4" r:id="R24ac69a6ea5741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22211E"/>
      <x:name val="Arial"/>
    </x:font>
    <x:font>
      <x:i/>
      <x:sz val="10"/>
      <x:color rgb="FF66635D"/>
      <x:name val="Arial"/>
    </x:font>
    <x:font>
      <x:sz val="10"/>
      <x:color rgb="FF22211E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2211E"/>
      </x:patternFill>
    </x:fill>
    <x:fill>
      <x:patternFill patternType="solid">
        <x:fgColor rgb="FFFFF2CC"/>
      </x:patternFill>
    </x:fill>
    <x:fill>
      <x:patternFill patternType="solid">
        <x:fgColor rgb="FFF5F2EB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rgb="FFF04B16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/>
      <x:top/>
      <x:bottom style="thin">
        <x:color rgb="FFE4E0D8"/>
      </x:bottom>
      <x:diagonal/>
    </x:border>
    <x:border>
      <x:left/>
      <x:right/>
      <x:top style="thin">
        <x:color rgb="FFE4E0D8"/>
      </x:top>
      <x:bottom style="thin">
        <x:color rgb="FFE4E0D8"/>
      </x:bottom>
      <x:diagonal/>
    </x:border>
    <x:border>
      <x:left style="thin">
        <x:color rgb="FFE4E0D8"/>
      </x:left>
      <x:right style="thin">
        <x:color rgb="FFE4E0D8"/>
      </x:right>
      <x:top style="thin">
        <x:color rgb="FFE4E0D8"/>
      </x:top>
      <x:bottom style="thin">
        <x:color rgb="FFE4E0D8"/>
      </x:bottom>
      <x:diagonal/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/>
    </x:xf>
    <x:xf numFmtId="0" fontId="3" fillId="0" borderId="3" xfId="0" applyNumberFormat="1" applyFont="1" applyFill="1" applyBorder="1" applyAlignment="1">
      <x:alignment vertical="top" wrapText="1"/>
    </x:xf>
    <x:xf numFmtId="0" fontId="3" fillId="3" borderId="3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/>
    </x:xf>
    <x:xf numFmtId="0" fontId="3" fillId="0" borderId="4" xfId="0" applyNumberFormat="1" applyFont="1" applyFill="1" applyBorder="1" applyAlignment="1">
      <x:alignment vertical="top" wrapText="1"/>
    </x:xf>
    <x:xf numFmtId="0" fontId="3" fillId="3" borderId="4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3" borderId="0" xfId="0" applyNumberFormat="1" applyFont="1" applyFill="1" applyBorder="1"/>
    <x:xf numFmtId="200" fontId="3" fillId="3" borderId="0" xfId="0" applyNumberFormat="1" applyFont="1" applyFill="1" applyBorder="1"/>
    <x:xf numFmtId="0" fontId="3" fillId="0" borderId="3" xfId="0" applyNumberFormat="1" applyFont="1" applyFill="1" applyBorder="1"/>
    <x:xf numFmtId="0" fontId="3" fillId="3" borderId="3" xfId="0" applyNumberFormat="1" applyFont="1" applyFill="1" applyBorder="1"/>
    <x:xf numFmtId="0" fontId="3" fillId="0" borderId="4" xfId="0" applyNumberFormat="1" applyFont="1" applyFill="1" applyBorder="1"/>
    <x:xf numFmtId="0" fontId="3" fillId="3" borderId="4" xfId="0" applyNumberFormat="1" applyFont="1" applyFill="1" applyBorder="1"/>
    <x:xf numFmtId="200" fontId="3" fillId="3" borderId="4" xfId="0" applyNumberFormat="1" applyFont="1" applyFill="1" applyBorder="1"/>
    <x:xf numFmtId="0" fontId="3" fillId="0" borderId="5" xfId="0" applyNumberFormat="1" applyFont="1" applyFill="1" applyBorder="1"/>
    <x:xf numFmtId="0" fontId="4" fillId="2" borderId="2" xfId="0" applyNumberFormat="1" applyFont="1" applyFill="1" applyBorder="1" applyAlignment="1">
      <x:alignment horizontal="center" vertical="top" wrapText="1"/>
    </x:xf>
    <x:xf numFmtId="0" fontId="3" fillId="3" borderId="3" xfId="0" applyNumberFormat="1" applyFont="1" applyFill="1" applyBorder="1" applyAlignment="1">
      <x:alignment vertical="top"/>
    </x:xf>
    <x:xf numFmtId="0" fontId="3" fillId="0" borderId="5" xfId="0" applyNumberFormat="1" applyFont="1" applyFill="1" applyBorder="1" applyAlignment="1">
      <x:alignment vertical="top"/>
    </x:xf>
    <x:xf numFmtId="0" fontId="3" fillId="3" borderId="4" xfId="0" applyNumberFormat="1" applyFont="1" applyFill="1" applyBorder="1" applyAlignment="1">
      <x:alignment vertical="top"/>
    </x:xf>
    <x:xf numFmtId="200" fontId="3" fillId="3" borderId="4" xfId="0" applyNumberFormat="1" applyFont="1" applyFill="1" applyBorder="1" applyAlignment="1">
      <x:alignment vertical="top"/>
    </x:xf>
    <x:xf numFmtId="0" fontId="3" fillId="0" borderId="5" xfId="0" applyNumberFormat="1" applyFont="1" applyFill="1" applyBorder="1" applyAlignment="1">
      <x:alignment vertical="top" wrapText="1"/>
    </x:xf>
    <x:xf numFmtId="200" fontId="3" fillId="3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1">
    <x:dxf>
      <x:font>
        <x:b/>
        <x:color rgb="FF275317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275317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275317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275317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7c47b111e74f52" /><Relationship Type="http://schemas.openxmlformats.org/officeDocument/2006/relationships/theme" Target="/xl/theme/theme1.xml" Id="Rafe0b933dc964568" /><Relationship Type="http://schemas.openxmlformats.org/officeDocument/2006/relationships/sharedStrings" Target="/xl/sharedStrings.xml" Id="R17ef1b9886594c1e" /><Relationship Type="http://schemas.openxmlformats.org/officeDocument/2006/relationships/worksheet" Target="/xl/worksheets/sheet1.xml" Id="R152b1b4e24644d87" /><Relationship Type="http://schemas.openxmlformats.org/officeDocument/2006/relationships/worksheet" Target="/xl/worksheets/sheet2.xml" Id="R1251aa55c3544831" /><Relationship Type="http://schemas.openxmlformats.org/officeDocument/2006/relationships/worksheet" Target="/xl/worksheets/sheet3.xml" Id="R2ce3225dbc6345f6" /><Relationship Type="http://schemas.openxmlformats.org/officeDocument/2006/relationships/worksheet" Target="/xl/worksheets/sheet4.xml" Id="R24ac69a6ea574149" /></Relationships>
</file>

<file path=xl/tables/table1.xml><?xml version="1.0" encoding="utf-8"?>
<x:table xmlns:x="http://schemas.openxmlformats.org/spreadsheetml/2006/main" id="1" name="UniversalFactorsTable" displayName="UniversalFactorsTable" ref="A6:O72" headerRowCount="1" totalsRowCount="0" totalsRowShown="0">
  <x:autoFilter ref="A6:O72"/>
  <x:tableColumns count="15">
    <x:tableColumn id="1" name="Factor ID"/>
    <x:tableColumn id="2" name="Classification"/>
    <x:tableColumn id="3" name="Primary control"/>
    <x:tableColumn id="4" name="Onboarding factor or question"/>
    <x:tableColumn id="5" name="Why it matters"/>
    <x:tableColumn id="6" name="Applicability"/>
    <x:tableColumn id="7" name="Required"/>
    <x:tableColumn id="8" name="Client response"/>
    <x:tableColumn id="9" name="Evidence or source"/>
    <x:tableColumn id="10" name="Data owner"/>
    <x:tableColumn id="11" name="Online collection method"/>
    <x:tableColumn id="12" name="Personal data"/>
    <x:tableColumn id="13" name="Jurisdiction(s)"/>
    <x:tableColumn id="14" name="Status"/>
    <x:tableColumn id="15" name="Consultant notes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IndustryFactorsTable" displayName="IndustryFactorsTable" ref="A6:O64" headerRowCount="1" totalsRowCount="0" totalsRowShown="0">
  <x:autoFilter ref="A6:O64"/>
  <x:tableColumns count="15">
    <x:tableColumn id="1" name="Factor ID"/>
    <x:tableColumn id="2" name="Classification"/>
    <x:tableColumn id="3" name="Primary control"/>
    <x:tableColumn id="4" name="Onboarding factor or question"/>
    <x:tableColumn id="5" name="Why it matters"/>
    <x:tableColumn id="6" name="Applicability"/>
    <x:tableColumn id="7" name="Required"/>
    <x:tableColumn id="8" name="Client response"/>
    <x:tableColumn id="9" name="Evidence or source"/>
    <x:tableColumn id="10" name="Data owner"/>
    <x:tableColumn id="11" name="Online collection method"/>
    <x:tableColumn id="12" name="Personal data"/>
    <x:tableColumn id="13" name="Jurisdiction(s)"/>
    <x:tableColumn id="14" name="Status"/>
    <x:tableColumn id="15" name="Consultant notes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EnterpriseUniqueFactorsTable" displayName="EnterpriseUniqueFactorsTable" ref="A6:O41" headerRowCount="1" totalsRowCount="0" totalsRowShown="0">
  <x:autoFilter ref="A6:O41"/>
  <x:tableColumns count="15">
    <x:tableColumn id="1" name="Factor ID"/>
    <x:tableColumn id="2" name="Classification"/>
    <x:tableColumn id="3" name="Primary control"/>
    <x:tableColumn id="4" name="Onboarding factor or question"/>
    <x:tableColumn id="5" name="Why it matters"/>
    <x:tableColumn id="6" name="Applicability"/>
    <x:tableColumn id="7" name="Required"/>
    <x:tableColumn id="8" name="Client response"/>
    <x:tableColumn id="9" name="Evidence or source"/>
    <x:tableColumn id="10" name="Data owner"/>
    <x:tableColumn id="11" name="Online collection method"/>
    <x:tableColumn id="12" name="Personal data"/>
    <x:tableColumn id="13" name="Jurisdiction(s)"/>
    <x:tableColumn id="14" name="Status"/>
    <x:tableColumn id="15" name="Consultant notes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23e6c8c3074f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32ba1ca46bf42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9558ea46b645bb" /></Relationships>
</file>

<file path=xl/worksheets/sheet1.xml><?xml version="1.0" encoding="utf-8"?>
<x:worksheet xmlns:x="http://schemas.openxmlformats.org/spreadsheetml/2006/main">
  <x:sheetPr>
    <x:tabColor rgb="FF22211E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34" hidden="0" customWidth="1"/>
    <x:col min="3" max="3" width="22" hidden="0" customWidth="1"/>
    <x:col min="4" max="4" width="35" hidden="0" customWidth="1"/>
    <x:col min="5" max="5" width="28" hidden="0" customWidth="1"/>
    <x:col min="6" max="6" width="24" hidden="0" customWidth="1"/>
  </x:cols>
  <x:sheetData>
    <x:row r="2">
      <x:c r="A2" s="3" t="str">
        <x:v>Enterprise onboarding workbook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>
      <x:c r="A3" s="2" t="str">
        <x:v>Complete the profile and three factor sections before live data is connected or enterprise-specific calibration is activated.</x:v>
      </x:c>
    </x:row>
    <x:row r="6" ht="15" hidden="0" customHeight="1">
      <x:c r="A6" s="34" t="str">
        <x:v>Client profile</x:v>
      </x:c>
      <x:c r="B6" s="34" t="str">
        <x:v>Value</x:v>
      </x:c>
      <x:c r="C6" s="13"/>
      <x:c r="D6" s="34" t="str">
        <x:v>Completion summary</x:v>
      </x:c>
      <x:c r="E6" s="34" t="str">
        <x:v>Complete</x:v>
      </x:c>
      <x:c r="F6" s="34" t="str">
        <x:v>Remaining</x:v>
      </x:c>
    </x:row>
    <x:row r="7" ht="15" hidden="0" customHeight="1">
      <x:c r="A7" s="17" t="str">
        <x:v>Client legal name</x:v>
      </x:c>
      <x:c r="B7" s="18" t="str"/>
      <x:c r="C7" s="13"/>
      <x:c r="D7" s="39" t="str">
        <x:v>Section A. Universal</x:v>
      </x:c>
      <x:c r="E7" s="41" t="n">
        <x:f>COUNTIF('A Universal'!N7:N72,"Complete")</x:f>
        <x:v>0</x:v>
      </x:c>
      <x:c r="F7" s="41" t="n">
        <x:f>COUNTIF('A Universal'!N7:N72,"&lt;&gt;Complete")-COUNTIF('A Universal'!N7:N72,"N/A")</x:f>
        <x:v>66</x:v>
      </x:c>
    </x:row>
    <x:row r="8" ht="15" hidden="0" customHeight="1">
      <x:c r="A8" s="21" t="str">
        <x:v>Group or parent</x:v>
      </x:c>
      <x:c r="B8" s="22" t="str"/>
      <x:c r="C8" s="13"/>
      <x:c r="D8" s="39" t="str">
        <x:v>Section B. Industry</x:v>
      </x:c>
      <x:c r="E8" s="41" t="n">
        <x:f>COUNTIF('B Industry'!N7:N64,"Complete")</x:f>
        <x:v>0</x:v>
      </x:c>
      <x:c r="F8" s="41" t="n">
        <x:f>COUNTIF('B Industry'!N7:N64,"&lt;&gt;Complete")-COUNTIF('B Industry'!N7:N64,"N/A")</x:f>
        <x:v>58</x:v>
      </x:c>
    </x:row>
    <x:row r="9" ht="15" hidden="0" customHeight="1">
      <x:c r="A9" s="21" t="str">
        <x:v>Primary industry</x:v>
      </x:c>
      <x:c r="B9" s="22" t="str">
        <x:v>To Confirm</x:v>
      </x:c>
      <x:c r="C9" s="13"/>
      <x:c r="D9" s="39" t="str">
        <x:v>Section C. Enterprise</x:v>
      </x:c>
      <x:c r="E9" s="41" t="n">
        <x:f>COUNTIF('C Enterprise'!N7:N41,"Complete")</x:f>
        <x:v>0</x:v>
      </x:c>
      <x:c r="F9" s="41" t="n">
        <x:f>COUNTIFS('C Enterprise'!D7:D41,"&lt;&gt;",'C Enterprise'!N7:N41,"&lt;&gt;Complete")-COUNTIF('C Enterprise'!N7:N41,"N/A")</x:f>
        <x:v>35</x:v>
      </x:c>
    </x:row>
    <x:row r="10" ht="15" hidden="0" customHeight="1">
      <x:c r="A10" s="21" t="str">
        <x:v>Headquarters</x:v>
      </x:c>
      <x:c r="B10" s="22" t="str"/>
      <x:c r="C10" s="13"/>
      <x:c r="D10" s="13"/>
      <x:c r="E10" s="42"/>
      <x:c r="F10" s="42"/>
    </x:row>
    <x:row r="11" ht="15" hidden="0" customHeight="1">
      <x:c r="A11" s="21" t="str">
        <x:v>Operating jurisdictions</x:v>
      </x:c>
      <x:c r="B11" s="22" t="str"/>
      <x:c r="C11" s="13"/>
      <x:c r="D11" s="34" t="str">
        <x:v>Readiness measure</x:v>
      </x:c>
      <x:c r="E11" s="34" t="str">
        <x:v>Count</x:v>
      </x:c>
      <x:c r="F11" s="42"/>
    </x:row>
    <x:row r="12" ht="15" hidden="0" customHeight="1">
      <x:c r="A12" s="21" t="str">
        <x:v>Deployment model</x:v>
      </x:c>
      <x:c r="B12" s="22" t="str">
        <x:v>To Confirm</x:v>
      </x:c>
      <x:c r="C12" s="13"/>
      <x:c r="D12" s="39" t="str">
        <x:v>Required inputs missing</x:v>
      </x:c>
      <x:c r="E12" s="41" t="n">
        <x:f>COUNTIF('A Universal'!N7:N72,"Input required")+COUNTIF('B Industry'!N7:N64,"Input required")+COUNTIF('C Enterprise'!N7:N41,"Input required")</x:f>
        <x:v>124</x:v>
      </x:c>
      <x:c r="F12" s="42"/>
    </x:row>
    <x:row r="13" ht="15" hidden="0" customHeight="1">
      <x:c r="A13" s="21" t="str">
        <x:v>Primary regulator(s)</x:v>
      </x:c>
      <x:c r="B13" s="22" t="str"/>
      <x:c r="C13" s="13"/>
      <x:c r="D13" s="39" t="str">
        <x:v>Evidence items outstanding</x:v>
      </x:c>
      <x:c r="E13" s="41" t="n">
        <x:f>COUNTIF('A Universal'!N7:N72,"Evidence needed")+COUNTIF('B Industry'!N7:N64,"Evidence needed")+COUNTIF('C Enterprise'!N7:N41,"Evidence needed")</x:f>
        <x:v>0</x:v>
      </x:c>
      <x:c r="F13" s="42"/>
    </x:row>
    <x:row r="14" ht="15" hidden="0" customHeight="1">
      <x:c r="A14" s="21" t="str">
        <x:v>Enterprise Owner</x:v>
      </x:c>
      <x:c r="B14" s="22" t="str"/>
      <x:c r="C14" s="13"/>
      <x:c r="D14" s="39" t="str">
        <x:v>Rows containing personal data</x:v>
      </x:c>
      <x:c r="E14" s="41" t="n">
        <x:f>COUNTIF('A Universal'!L7:L72,"Yes")+COUNTIF('A Universal'!L7:L72,"Sensitive")+COUNTIF('B Industry'!L7:L64,"Yes")+COUNTIF('B Industry'!L7:L64,"Sensitive")+COUNTIF('C Enterprise'!L7:L41,"Yes")+COUNTIF('C Enterprise'!L7:L41,"Sensitive")</x:f>
        <x:v>0</x:v>
      </x:c>
      <x:c r="F14" s="42"/>
    </x:row>
    <x:row r="15" ht="24" hidden="0" customHeight="1">
      <x:c r="A15" s="21" t="str">
        <x:v>In-house Expert Risk Analyst</x:v>
      </x:c>
      <x:c r="B15" s="22" t="str"/>
      <x:c r="C15" s="13"/>
      <x:c r="D15" s="39" t="str">
        <x:v>Rows with jurisdiction not recorded</x:v>
      </x:c>
      <x:c r="E15" s="41" t="n">
        <x:f>COUNTBLANK('A Universal'!M7:M72)-COUNTBLANK('A Universal'!D7:D72)+COUNTBLANK('B Industry'!M7:M64)-COUNTBLANK('B Industry'!D7:D64)+COUNTBLANK('C Enterprise'!M7:M41)-COUNTBLANK('C Enterprise'!D7:D41)</x:f>
        <x:v>144</x:v>
      </x:c>
      <x:c r="F15" s="42"/>
    </x:row>
    <x:row r="16" ht="15" hidden="0" customHeight="1">
      <x:c r="A16" s="21" t="str">
        <x:v>Expert Consultant</x:v>
      </x:c>
      <x:c r="B16" s="22" t="str"/>
      <x:c r="C16" s="13"/>
      <x:c r="D16" s="13"/>
      <x:c r="E16" s="13"/>
      <x:c r="F16" s="13"/>
    </x:row>
    <x:row r="17" ht="15" hidden="0" customHeight="1">
      <x:c r="A17" s="21" t="str">
        <x:v>Target pilot date</x:v>
      </x:c>
      <x:c r="B17" s="40"/>
      <x:c r="C17" s="13"/>
      <x:c r="D17" s="13"/>
      <x:c r="E17" s="13"/>
      <x:c r="F17" s="13"/>
    </x:row>
    <x:row r="18" ht="15" hidden="0" customHeight="1">
      <x:c r="A18" s="21" t="str">
        <x:v>Workbook status</x:v>
      </x:c>
      <x:c r="B18" s="22" t="str">
        <x:v>Draft</x:v>
      </x:c>
      <x:c r="C18" s="13"/>
      <x:c r="D18" s="13"/>
      <x:c r="E18" s="13"/>
      <x:c r="F18" s="13"/>
    </x:row>
    <x:row r="19" ht="15" hidden="0" customHeight="1">
      <x:c r="A19" s="13"/>
      <x:c r="B19" s="13"/>
      <x:c r="C19" s="13"/>
      <x:c r="D19" s="13"/>
      <x:c r="E19" s="13"/>
      <x:c r="F19" s="13"/>
    </x:row>
    <x:row r="20" ht="15" hidden="0" customHeight="1">
      <x:c r="A20" s="13"/>
      <x:c r="B20" s="13"/>
      <x:c r="C20" s="13"/>
      <x:c r="D20" s="13"/>
      <x:c r="E20" s="13"/>
      <x:c r="F20" s="13"/>
    </x:row>
    <x:row r="21" ht="15" hidden="0" customHeight="1">
      <x:c r="A21" s="34" t="str">
        <x:v>Completion sequence</x:v>
      </x:c>
      <x:c r="B21" s="34" t="str">
        <x:v>Action</x:v>
      </x:c>
      <x:c r="C21" s="34" t="str">
        <x:v>Responsible role</x:v>
      </x:c>
      <x:c r="D21" s="34" t="str">
        <x:v>Evidence</x:v>
      </x:c>
      <x:c r="E21" s="34" t="str">
        <x:v>Decision</x:v>
      </x:c>
      <x:c r="F21" s="34" t="str">
        <x:v>Status</x:v>
      </x:c>
    </x:row>
    <x:row r="22" ht="24" hidden="0" customHeight="1">
      <x:c r="A22" s="17" t="n">
        <x:v>1</x:v>
      </x:c>
      <x:c r="B22" s="17" t="str">
        <x:v>Confirm legal entities, perimeter and accountable roles</x:v>
      </x:c>
      <x:c r="C22" s="17" t="str">
        <x:v>Enterprise Owner</x:v>
      </x:c>
      <x:c r="D22" s="17" t="str">
        <x:v>Corporate and governance records</x:v>
      </x:c>
      <x:c r="E22" s="17" t="str">
        <x:v>Onboarding scope approved</x:v>
      </x:c>
      <x:c r="F22" s="18" t="str">
        <x:v>Open</x:v>
      </x:c>
    </x:row>
    <x:row r="23" ht="15" hidden="0" customHeight="1">
      <x:c r="A23" s="21" t="n">
        <x:v>2</x:v>
      </x:c>
      <x:c r="B23" s="21" t="str">
        <x:v>Complete universal factor assessment</x:v>
      </x:c>
      <x:c r="C23" s="21" t="str">
        <x:v>In-house Risk Analyst</x:v>
      </x:c>
      <x:c r="D23" s="21" t="str">
        <x:v>Responses and evidence</x:v>
      </x:c>
      <x:c r="E23" s="21" t="str">
        <x:v>Universal baseline accepted</x:v>
      </x:c>
      <x:c r="F23" s="22" t="str">
        <x:v>Open</x:v>
      </x:c>
    </x:row>
    <x:row r="24" ht="24" hidden="0" customHeight="1">
      <x:c r="A24" s="21" t="n">
        <x:v>3</x:v>
      </x:c>
      <x:c r="B24" s="21" t="str">
        <x:v>Select and complete applicable industry factors</x:v>
      </x:c>
      <x:c r="C24" s="21" t="str">
        <x:v>Risk Analyst and Consultant</x:v>
      </x:c>
      <x:c r="D24" s="21" t="str">
        <x:v>Sector evidence</x:v>
      </x:c>
      <x:c r="E24" s="21" t="str">
        <x:v>Industry model accepted</x:v>
      </x:c>
      <x:c r="F24" s="22" t="str">
        <x:v>Open</x:v>
      </x:c>
    </x:row>
    <x:row r="25" ht="24" hidden="0" customHeight="1">
      <x:c r="A25" s="21" t="n">
        <x:v>4</x:v>
      </x:c>
      <x:c r="B25" s="21" t="str">
        <x:v>Record enterprise-unique factors</x:v>
      </x:c>
      <x:c r="C25" s="21" t="str">
        <x:v>Owner, Analyst and Consultant</x:v>
      </x:c>
      <x:c r="D25" s="21" t="str">
        <x:v>Enterprise-specific evidence</x:v>
      </x:c>
      <x:c r="E25" s="21" t="str">
        <x:v>Unique factors accepted</x:v>
      </x:c>
      <x:c r="F25" s="22" t="str">
        <x:v>Open</x:v>
      </x:c>
    </x:row>
    <x:row r="26" ht="24" hidden="0" customHeight="1">
      <x:c r="A26" s="21" t="n">
        <x:v>5</x:v>
      </x:c>
      <x:c r="B26" s="21" t="str">
        <x:v>Classify online sources and personal data</x:v>
      </x:c>
      <x:c r="C26" s="21" t="str">
        <x:v>Data Owner and Privacy Lead</x:v>
      </x:c>
      <x:c r="D26" s="21" t="str">
        <x:v>Source register</x:v>
      </x:c>
      <x:c r="E26" s="21" t="str">
        <x:v>DCA schedules completed</x:v>
      </x:c>
      <x:c r="F26" s="22" t="str">
        <x:v>Open</x:v>
      </x:c>
    </x:row>
    <x:row r="27" ht="15" hidden="0" customHeight="1">
      <x:c r="A27" s="21" t="n">
        <x:v>6</x:v>
      </x:c>
      <x:c r="B27" s="21" t="str">
        <x:v>Approve source connections and access</x:v>
      </x:c>
      <x:c r="C27" s="21" t="str">
        <x:v>Enterprise Owner</x:v>
      </x:c>
      <x:c r="D27" s="21" t="str">
        <x:v>Signed DCA and access approval</x:v>
      </x:c>
      <x:c r="E27" s="21" t="str">
        <x:v>Pilot data access approved</x:v>
      </x:c>
      <x:c r="F27" s="22" t="str">
        <x:v>Open</x:v>
      </x:c>
    </x:row>
    <x:row r="28" ht="15" hidden="0" customHeight="1">
      <x:c r="A28" s="21" t="n">
        <x:v>7</x:v>
      </x:c>
      <x:c r="B28" s="21" t="str">
        <x:v>Approve baseline and candidate calibration</x:v>
      </x:c>
      <x:c r="C28" s="21" t="str">
        <x:v>Model Approver</x:v>
      </x:c>
      <x:c r="D28" s="21" t="str">
        <x:v>Backtest and validation record</x:v>
      </x:c>
      <x:c r="E28" s="21" t="str">
        <x:v>Calibration activated</x:v>
      </x:c>
      <x:c r="F28" s="22" t="str">
        <x:v>Open</x:v>
      </x:c>
    </x:row>
    <x:row r="29" ht="15" hidden="0" customHeight="1">
      <x:c r="A29" s="13"/>
      <x:c r="B29" s="13"/>
      <x:c r="C29" s="13"/>
      <x:c r="D29" s="13"/>
      <x:c r="E29" s="13"/>
      <x:c r="F29" s="13"/>
    </x:row>
    <x:row r="30" ht="15" hidden="0" customHeight="1">
      <x:c r="A30" s="13"/>
      <x:c r="B30" s="13"/>
      <x:c r="C30" s="13"/>
      <x:c r="D30" s="13"/>
      <x:c r="E30" s="13"/>
      <x:c r="F30" s="13"/>
    </x:row>
    <x:row r="31" ht="15" hidden="0" customHeight="1">
      <x:c r="A31" s="34" t="str">
        <x:v>Field guidance</x:v>
      </x:c>
      <x:c r="B31" s="34" t="str">
        <x:v>Use</x:v>
      </x:c>
      <x:c r="C31" s="34" t="str">
        <x:v>Applies to</x:v>
      </x:c>
      <x:c r="D31" s="34" t="str">
        <x:v>Owner</x:v>
      </x:c>
      <x:c r="E31" s="34" t="str">
        <x:v>When complete</x:v>
      </x:c>
      <x:c r="F31" s="34" t="str">
        <x:v>Related agreement</x:v>
      </x:c>
    </x:row>
    <x:row r="32" ht="24" hidden="0" customHeight="1">
      <x:c r="A32" s="17" t="str">
        <x:v>Applicability</x:v>
      </x:c>
      <x:c r="B32" s="17" t="str">
        <x:v>Confirm whether the factor applies to the enterprise.</x:v>
      </x:c>
      <x:c r="C32" s="17" t="str">
        <x:v>All factor rows</x:v>
      </x:c>
      <x:c r="D32" s="17" t="str">
        <x:v>Risk Analyst</x:v>
      </x:c>
      <x:c r="E32" s="17" t="str">
        <x:v>Applicable or Not Applicable is selected</x:v>
      </x:c>
      <x:c r="F32" s="17" t="str">
        <x:v>DCA Schedule 1 where data is collected</x:v>
      </x:c>
    </x:row>
    <x:row r="33" ht="24" hidden="0" customHeight="1">
      <x:c r="A33" s="21" t="str">
        <x:v>Client response</x:v>
      </x:c>
      <x:c r="B33" s="21" t="str">
        <x:v>Record the current enterprise state, value, process or control.</x:v>
      </x:c>
      <x:c r="C33" s="21" t="str">
        <x:v>Applicable rows</x:v>
      </x:c>
      <x:c r="D33" s="21" t="str">
        <x:v>Business or Data Owner</x:v>
      </x:c>
      <x:c r="E33" s="21" t="str">
        <x:v>A current, specific response is entered</x:v>
      </x:c>
      <x:c r="F33" s="21" t="str">
        <x:v>Processing purpose and instruction</x:v>
      </x:c>
    </x:row>
    <x:row r="34" ht="24" hidden="0" customHeight="1">
      <x:c r="A34" s="21" t="str">
        <x:v>Evidence or source</x:v>
      </x:c>
      <x:c r="B34" s="21" t="str">
        <x:v>Identify the report, system, policy, contract or record supporting the response.</x:v>
      </x:c>
      <x:c r="C34" s="21" t="str">
        <x:v>Required rows</x:v>
      </x:c>
      <x:c r="D34" s="21" t="str">
        <x:v>Evidence Owner</x:v>
      </x:c>
      <x:c r="E34" s="21" t="str">
        <x:v>Source is named and accessible</x:v>
      </x:c>
      <x:c r="F34" s="21" t="str">
        <x:v>Source register and audit rights</x:v>
      </x:c>
    </x:row>
    <x:row r="35" ht="24" hidden="0" customHeight="1">
      <x:c r="A35" s="21" t="str">
        <x:v>Online collection method</x:v>
      </x:c>
      <x:c r="B35" s="21" t="str">
        <x:v>Select how the system will receive or read the information.</x:v>
      </x:c>
      <x:c r="C35" s="21" t="str">
        <x:v>Connected data rows</x:v>
      </x:c>
      <x:c r="D35" s="21" t="str">
        <x:v>System Owner</x:v>
      </x:c>
      <x:c r="E35" s="21" t="str">
        <x:v>Approved collection method is selected</x:v>
      </x:c>
      <x:c r="F35" s="21" t="str">
        <x:v>Security and access schedule</x:v>
      </x:c>
    </x:row>
    <x:row r="36" ht="36" hidden="0" customHeight="1">
      <x:c r="A36" s="21" t="str">
        <x:v>Personal data and jurisdiction</x:v>
      </x:c>
      <x:c r="B36" s="21" t="str">
        <x:v>Classify personal data and record where individuals, systems and recipients are located.</x:v>
      </x:c>
      <x:c r="C36" s="21" t="str">
        <x:v>Any row containing personal data</x:v>
      </x:c>
      <x:c r="D36" s="21" t="str">
        <x:v>Privacy Lead</x:v>
      </x:c>
      <x:c r="E36" s="21" t="str">
        <x:v>Classification and jurisdictions are confirmed</x:v>
      </x:c>
      <x:c r="F36" s="21" t="str">
        <x:v>Jurisdiction schedule and transfer mechanism</x:v>
      </x:c>
    </x:row>
  </x:sheetData>
  <x:conditionalFormatting sqref="F22:F28">
    <x:cfRule type="containsText" dxfId="9" priority="1" operator="containsText" text="Complete"/>
    <x:cfRule type="containsText" dxfId="10" priority="2" operator="containsText" text="Blocked"/>
  </x:conditionalFormatting>
  <x:dataValidations count="4">
    <x:dataValidation type="list" sqref="B9">
      <x:formula1>"Payments &amp; FinTech,Banking &amp; Lending,Insurance,Retail &amp; e-Commerce,Manufacturing,Technology &amp; SaaS,Healthcare &amp; Life Sciences,Logistics &amp; Transportation,Energy &amp; Utilities,Professional Services,Other / sector to define"</x:formula1>
    </x:dataValidation>
    <x:dataValidation type="list" sqref="B12">
      <x:formula1>"Enterprise-Operated,Consultant-Led Managed Service,Hybrid,To Confirm"</x:formula1>
    </x:dataValidation>
    <x:dataValidation type="list" sqref="B18">
      <x:formula1>"Draft,Client review,Consultant review,Approved for configuration"</x:formula1>
    </x:dataValidation>
    <x:dataValidation type="list" sqref="F22:F28">
      <x:formula1>"Open,In progress,Blocked,Complete,Not applicable"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04B16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18" hidden="0" customWidth="1"/>
    <x:col min="4" max="4" width="43" hidden="0" customWidth="1"/>
    <x:col min="5" max="5" width="36" hidden="0" customWidth="1"/>
    <x:col min="6" max="6" width="16" hidden="0" customWidth="1"/>
    <x:col min="7" max="7" width="13" hidden="0" customWidth="1"/>
    <x:col min="8" max="8" width="32" hidden="0" customWidth="1"/>
    <x:col min="9" max="9" width="28" hidden="0" customWidth="1"/>
    <x:col min="10" max="10" width="22" hidden="0" customWidth="1"/>
    <x:col min="11" max="11" width="23" hidden="0" customWidth="1"/>
    <x:col min="12" max="12" width="15" hidden="0" customWidth="1"/>
    <x:col min="13" max="13" width="22" hidden="0" customWidth="1"/>
    <x:col min="14" max="14" width="17" hidden="0" customWidth="1"/>
    <x:col min="15" max="15" width="30" hidden="0" customWidth="1"/>
  </x:cols>
  <x:sheetData>
    <x:row r="2" ht="22" customHeight="1">
      <x:c r="A2" s="3" t="str">
        <x:v>Section A. Universal enterprise factors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2" customHeight="1">
      <x:c r="A3" s="2" t="str">
        <x:v>Industry-agnostic information required to establish enterprise scope, governance, financial condition, operations, obligations and data controls.</x:v>
      </x:c>
    </x:row>
    <x:row r="6" ht="34" customHeight="1">
      <x:c r="A6" s="11" t="str">
        <x:v>Factor ID</x:v>
      </x:c>
      <x:c r="B6" s="11" t="str">
        <x:v>Classification</x:v>
      </x:c>
      <x:c r="C6" s="11" t="str">
        <x:v>Primary control</x:v>
      </x:c>
      <x:c r="D6" s="11" t="str">
        <x:v>Onboarding factor or question</x:v>
      </x:c>
      <x:c r="E6" s="11" t="str">
        <x:v>Why it matters</x:v>
      </x:c>
      <x:c r="F6" s="11" t="str">
        <x:v>Applicability</x:v>
      </x:c>
      <x:c r="G6" s="11" t="str">
        <x:v>Required</x:v>
      </x:c>
      <x:c r="H6" s="11" t="str">
        <x:v>Client response</x:v>
      </x:c>
      <x:c r="I6" s="11" t="str">
        <x:v>Evidence or source</x:v>
      </x:c>
      <x:c r="J6" s="11" t="str">
        <x:v>Data owner</x:v>
      </x:c>
      <x:c r="K6" s="11" t="str">
        <x:v>Online collection method</x:v>
      </x:c>
      <x:c r="L6" s="11" t="str">
        <x:v>Personal data</x:v>
      </x:c>
      <x:c r="M6" s="11" t="str">
        <x:v>Jurisdiction(s)</x:v>
      </x:c>
      <x:c r="N6" s="11" t="str">
        <x:v>Status</x:v>
      </x:c>
      <x:c r="O6" s="11" t="str">
        <x:v>Consultant notes</x:v>
      </x:c>
    </x:row>
    <x:row r="7" ht="24" hidden="0" customHeight="1">
      <x:c r="A7" s="16" t="str">
        <x:v>A-001</x:v>
      </x:c>
      <x:c r="B7" s="16" t="str">
        <x:v>Enterprise identity</x:v>
      </x:c>
      <x:c r="C7" s="16" t="str">
        <x:v>Regulation</x:v>
      </x:c>
      <x:c r="D7" s="17" t="str">
        <x:v>Confirmed legal name, registration number and legal form</x:v>
      </x:c>
      <x:c r="E7" s="17" t="str">
        <x:v>Establishes the contracting and regulated entity.</x:v>
      </x:c>
      <x:c r="F7" s="18" t="str">
        <x:v>Applicable</x:v>
      </x:c>
      <x:c r="G7" s="18" t="str">
        <x:v>Required</x:v>
      </x:c>
      <x:c r="H7" s="18" t="str"/>
      <x:c r="I7" s="18" t="str"/>
      <x:c r="J7" s="18" t="str"/>
      <x:c r="K7" s="18" t="str">
        <x:v>Manual entry</x:v>
      </x:c>
      <x:c r="L7" s="18" t="str">
        <x:v>Unknown</x:v>
      </x:c>
      <x:c r="M7" s="18" t="str"/>
      <x:c r="N7" s="19" t="str">
        <x:f>IF(D7="","Open",IF(F7="Not Applicable","N/A",IF(OR(H7="",H7="To be confirmed"),IF(G7="Required","Input required","Open"),IF(AND(G7="Required",I7=""),"Evidence needed","Complete"))))</x:f>
        <x:v>Input required</x:v>
      </x:c>
      <x:c r="O7" s="17" t="str"/>
    </x:row>
    <x:row r="8" ht="24" hidden="0" customHeight="1">
      <x:c r="A8" s="20" t="str">
        <x:v>A-002</x:v>
      </x:c>
      <x:c r="B8" s="20" t="str">
        <x:v>Enterprise identity</x:v>
      </x:c>
      <x:c r="C8" s="20" t="str">
        <x:v>Regulation</x:v>
      </x:c>
      <x:c r="D8" s="21" t="str">
        <x:v>Group structure, subsidiaries, branches and controlled entities</x:v>
      </x:c>
      <x:c r="E8" s="21" t="str">
        <x:v>Defines the perimeter of monitoring, consolidation and legal responsibility.</x:v>
      </x:c>
      <x:c r="F8" s="22" t="str">
        <x:v>Applicable</x:v>
      </x:c>
      <x:c r="G8" s="22" t="str">
        <x:v>Required</x:v>
      </x:c>
      <x:c r="H8" s="22" t="str"/>
      <x:c r="I8" s="22" t="str"/>
      <x:c r="J8" s="22" t="str"/>
      <x:c r="K8" s="22" t="str">
        <x:v>Manual entry</x:v>
      </x:c>
      <x:c r="L8" s="22" t="str">
        <x:v>Unknown</x:v>
      </x:c>
      <x:c r="M8" s="22" t="str"/>
      <x:c r="N8" s="23" t="str">
        <x:f>IF(D8="","Open",IF(F8="Not Applicable","N/A",IF(OR(H8="",H8="To be confirmed"),IF(G8="Required","Input required","Open"),IF(AND(G8="Required",I8=""),"Evidence needed","Complete"))))</x:f>
        <x:v>Input required</x:v>
      </x:c>
      <x:c r="O8" s="21" t="str"/>
    </x:row>
    <x:row r="9" ht="24" hidden="0" customHeight="1">
      <x:c r="A9" s="20" t="str">
        <x:v>A-003</x:v>
      </x:c>
      <x:c r="B9" s="20" t="str">
        <x:v>Enterprise identity</x:v>
      </x:c>
      <x:c r="C9" s="20" t="str">
        <x:v>Countries &amp; Corridors</x:v>
      </x:c>
      <x:c r="D9" s="21" t="str">
        <x:v>Head office, operating locations and data-processing locations</x:v>
      </x:c>
      <x:c r="E9" s="21" t="str">
        <x:v>Determines geographic, regulatory and transfer exposure.</x:v>
      </x:c>
      <x:c r="F9" s="22" t="str">
        <x:v>Applicable</x:v>
      </x:c>
      <x:c r="G9" s="22" t="str">
        <x:v>Required</x:v>
      </x:c>
      <x:c r="H9" s="22" t="str"/>
      <x:c r="I9" s="22" t="str"/>
      <x:c r="J9" s="22" t="str"/>
      <x:c r="K9" s="22" t="str">
        <x:v>Manual entry</x:v>
      </x:c>
      <x:c r="L9" s="22" t="str">
        <x:v>Unknown</x:v>
      </x:c>
      <x:c r="M9" s="22" t="str"/>
      <x:c r="N9" s="23" t="str">
        <x:f>IF(D9="","Open",IF(F9="Not Applicable","N/A",IF(OR(H9="",H9="To be confirmed"),IF(G9="Required","Input required","Open"),IF(AND(G9="Required",I9=""),"Evidence needed","Complete"))))</x:f>
        <x:v>Input required</x:v>
      </x:c>
      <x:c r="O9" s="21" t="str"/>
    </x:row>
    <x:row r="10" ht="24" hidden="0" customHeight="1">
      <x:c r="A10" s="20" t="str">
        <x:v>A-004</x:v>
      </x:c>
      <x:c r="B10" s="20" t="str">
        <x:v>Enterprise identity</x:v>
      </x:c>
      <x:c r="C10" s="20" t="str">
        <x:v>Operations</x:v>
      </x:c>
      <x:c r="D10" s="21" t="str">
        <x:v>Current organisation chart and accountable executives</x:v>
      </x:c>
      <x:c r="E10" s="21" t="str">
        <x:v>Maps ownership, escalation and decision authority.</x:v>
      </x:c>
      <x:c r="F10" s="22" t="str">
        <x:v>Applicable</x:v>
      </x:c>
      <x:c r="G10" s="22" t="str">
        <x:v>Required</x:v>
      </x:c>
      <x:c r="H10" s="22" t="str"/>
      <x:c r="I10" s="22" t="str"/>
      <x:c r="J10" s="22" t="str"/>
      <x:c r="K10" s="22" t="str">
        <x:v>Manual entry</x:v>
      </x:c>
      <x:c r="L10" s="22" t="str">
        <x:v>Unknown</x:v>
      </x:c>
      <x:c r="M10" s="22" t="str"/>
      <x:c r="N10" s="23" t="str">
        <x:f>IF(D10="","Open",IF(F10="Not Applicable","N/A",IF(OR(H10="",H10="To be confirmed"),IF(G10="Required","Input required","Open"),IF(AND(G10="Required",I10=""),"Evidence needed","Complete"))))</x:f>
        <x:v>Input required</x:v>
      </x:c>
      <x:c r="O10" s="21" t="str"/>
    </x:row>
    <x:row r="11" ht="15" hidden="0" customHeight="1">
      <x:c r="A11" s="20" t="str">
        <x:v>A-005</x:v>
      </x:c>
      <x:c r="B11" s="20" t="str">
        <x:v>Enterprise identity</x:v>
      </x:c>
      <x:c r="C11" s="20" t="str">
        <x:v>Operations</x:v>
      </x:c>
      <x:c r="D11" s="21" t="str">
        <x:v>Products, services and principal customer groups</x:v>
      </x:c>
      <x:c r="E11" s="21" t="str">
        <x:v>Defines the commercial and operational model.</x:v>
      </x:c>
      <x:c r="F11" s="22" t="str">
        <x:v>Applicable</x:v>
      </x:c>
      <x:c r="G11" s="22" t="str">
        <x:v>Required</x:v>
      </x:c>
      <x:c r="H11" s="22" t="str"/>
      <x:c r="I11" s="22" t="str"/>
      <x:c r="J11" s="22" t="str"/>
      <x:c r="K11" s="22" t="str">
        <x:v>Manual entry</x:v>
      </x:c>
      <x:c r="L11" s="22" t="str">
        <x:v>Unknown</x:v>
      </x:c>
      <x:c r="M11" s="22" t="str"/>
      <x:c r="N11" s="23" t="str">
        <x:f>IF(D11="","Open",IF(F11="Not Applicable","N/A",IF(OR(H11="",H11="To be confirmed"),IF(G11="Required","Input required","Open"),IF(AND(G11="Required",I11=""),"Evidence needed","Complete"))))</x:f>
        <x:v>Input required</x:v>
      </x:c>
      <x:c r="O11" s="21" t="str"/>
    </x:row>
    <x:row r="12" ht="24" hidden="0" customHeight="1">
      <x:c r="A12" s="20" t="str">
        <x:v>A-006</x:v>
      </x:c>
      <x:c r="B12" s="20" t="str">
        <x:v>Enterprise identity</x:v>
      </x:c>
      <x:c r="C12" s="20" t="str">
        <x:v>Operations</x:v>
      </x:c>
      <x:c r="D12" s="21" t="str">
        <x:v>Critical business services and maximum tolerable disruption</x:v>
      </x:c>
      <x:c r="E12" s="21" t="str">
        <x:v>Identifies services requiring continuity protection.</x:v>
      </x:c>
      <x:c r="F12" s="22" t="str">
        <x:v>Applicable</x:v>
      </x:c>
      <x:c r="G12" s="22" t="str">
        <x:v>Required</x:v>
      </x:c>
      <x:c r="H12" s="22" t="str"/>
      <x:c r="I12" s="22" t="str"/>
      <x:c r="J12" s="22" t="str"/>
      <x:c r="K12" s="22" t="str">
        <x:v>Manual entry</x:v>
      </x:c>
      <x:c r="L12" s="22" t="str">
        <x:v>Unknown</x:v>
      </x:c>
      <x:c r="M12" s="22" t="str"/>
      <x:c r="N12" s="23" t="str">
        <x:f>IF(D12="","Open",IF(F12="Not Applicable","N/A",IF(OR(H12="",H12="To be confirmed"),IF(G12="Required","Input required","Open"),IF(AND(G12="Required",I12=""),"Evidence needed","Complete"))))</x:f>
        <x:v>Input required</x:v>
      </x:c>
      <x:c r="O12" s="21" t="str"/>
    </x:row>
    <x:row r="13" ht="24" hidden="0" customHeight="1">
      <x:c r="A13" s="20" t="str">
        <x:v>A-007</x:v>
      </x:c>
      <x:c r="B13" s="20" t="str">
        <x:v>Governance</x:v>
      </x:c>
      <x:c r="C13" s="20" t="str">
        <x:v>Regulation</x:v>
      </x:c>
      <x:c r="D13" s="21" t="str">
        <x:v>Board and executive risk-governance structure</x:v>
      </x:c>
      <x:c r="E13" s="21" t="str">
        <x:v>Establishes oversight, challenge and reporting routes.</x:v>
      </x:c>
      <x:c r="F13" s="22" t="str">
        <x:v>Applicable</x:v>
      </x:c>
      <x:c r="G13" s="22" t="str">
        <x:v>Required</x:v>
      </x:c>
      <x:c r="H13" s="22" t="str"/>
      <x:c r="I13" s="22" t="str"/>
      <x:c r="J13" s="22" t="str"/>
      <x:c r="K13" s="22" t="str">
        <x:v>Manual entry</x:v>
      </x:c>
      <x:c r="L13" s="22" t="str">
        <x:v>Unknown</x:v>
      </x:c>
      <x:c r="M13" s="22" t="str"/>
      <x:c r="N13" s="23" t="str">
        <x:f>IF(D13="","Open",IF(F13="Not Applicable","N/A",IF(OR(H13="",H13="To be confirmed"),IF(G13="Required","Input required","Open"),IF(AND(G13="Required",I13=""),"Evidence needed","Complete"))))</x:f>
        <x:v>Input required</x:v>
      </x:c>
      <x:c r="O13" s="21" t="str"/>
    </x:row>
    <x:row r="14" ht="24" hidden="0" customHeight="1">
      <x:c r="A14" s="20" t="str">
        <x:v>A-008</x:v>
      </x:c>
      <x:c r="B14" s="20" t="str">
        <x:v>Governance</x:v>
      </x:c>
      <x:c r="C14" s="20" t="str">
        <x:v>Regulation</x:v>
      </x:c>
      <x:c r="D14" s="21" t="str">
        <x:v>Risk appetite, tolerance limits and escalation thresholds</x:v>
      </x:c>
      <x:c r="E14" s="21" t="str">
        <x:v>Provides decision thresholds for alerts and scenarios.</x:v>
      </x:c>
      <x:c r="F14" s="22" t="str">
        <x:v>Applicable</x:v>
      </x:c>
      <x:c r="G14" s="22" t="str">
        <x:v>Required</x:v>
      </x:c>
      <x:c r="H14" s="22" t="str"/>
      <x:c r="I14" s="22" t="str"/>
      <x:c r="J14" s="22" t="str"/>
      <x:c r="K14" s="22" t="str">
        <x:v>Manual entry</x:v>
      </x:c>
      <x:c r="L14" s="22" t="str">
        <x:v>Unknown</x:v>
      </x:c>
      <x:c r="M14" s="22" t="str"/>
      <x:c r="N14" s="23" t="str">
        <x:f>IF(D14="","Open",IF(F14="Not Applicable","N/A",IF(OR(H14="",H14="To be confirmed"),IF(G14="Required","Input required","Open"),IF(AND(G14="Required",I14=""),"Evidence needed","Complete"))))</x:f>
        <x:v>Input required</x:v>
      </x:c>
      <x:c r="O14" s="21" t="str"/>
    </x:row>
    <x:row r="15" ht="24" hidden="0" customHeight="1">
      <x:c r="A15" s="20" t="str">
        <x:v>A-009</x:v>
      </x:c>
      <x:c r="B15" s="20" t="str">
        <x:v>Governance</x:v>
      </x:c>
      <x:c r="C15" s="20" t="str">
        <x:v>Operations</x:v>
      </x:c>
      <x:c r="D15" s="21" t="str">
        <x:v>Named Enterprise Owner and delegated decision authorities</x:v>
      </x:c>
      <x:c r="E15" s="21" t="str">
        <x:v>Identifies accountability for recommendations and implementation.</x:v>
      </x:c>
      <x:c r="F15" s="22" t="str">
        <x:v>Applicable</x:v>
      </x:c>
      <x:c r="G15" s="22" t="str">
        <x:v>Required</x:v>
      </x:c>
      <x:c r="H15" s="22" t="str"/>
      <x:c r="I15" s="22" t="str"/>
      <x:c r="J15" s="22" t="str"/>
      <x:c r="K15" s="22" t="str">
        <x:v>Manual entry</x:v>
      </x:c>
      <x:c r="L15" s="22" t="str">
        <x:v>Unknown</x:v>
      </x:c>
      <x:c r="M15" s="22" t="str"/>
      <x:c r="N15" s="23" t="str">
        <x:f>IF(D15="","Open",IF(F15="Not Applicable","N/A",IF(OR(H15="",H15="To be confirmed"),IF(G15="Required","Input required","Open"),IF(AND(G15="Required",I15=""),"Evidence needed","Complete"))))</x:f>
        <x:v>Input required</x:v>
      </x:c>
      <x:c r="O15" s="21" t="str"/>
    </x:row>
    <x:row r="16" ht="24" hidden="0" customHeight="1">
      <x:c r="A16" s="20" t="str">
        <x:v>A-010</x:v>
      </x:c>
      <x:c r="B16" s="20" t="str">
        <x:v>Governance</x:v>
      </x:c>
      <x:c r="C16" s="20" t="str">
        <x:v>Operations</x:v>
      </x:c>
      <x:c r="D16" s="21" t="str">
        <x:v>Named in-house Expert Risk Analyst and alternates</x:v>
      </x:c>
      <x:c r="E16" s="21" t="str">
        <x:v>Defines operational ownership of monitoring and analysis.</x:v>
      </x:c>
      <x:c r="F16" s="22" t="str">
        <x:v>Applicable</x:v>
      </x:c>
      <x:c r="G16" s="22" t="str">
        <x:v>Required</x:v>
      </x:c>
      <x:c r="H16" s="22" t="str"/>
      <x:c r="I16" s="22" t="str"/>
      <x:c r="J16" s="22" t="str"/>
      <x:c r="K16" s="22" t="str">
        <x:v>Manual entry</x:v>
      </x:c>
      <x:c r="L16" s="22" t="str">
        <x:v>Unknown</x:v>
      </x:c>
      <x:c r="M16" s="22" t="str"/>
      <x:c r="N16" s="23" t="str">
        <x:f>IF(D16="","Open",IF(F16="Not Applicable","N/A",IF(OR(H16="",H16="To be confirmed"),IF(G16="Required","Input required","Open"),IF(AND(G16="Required",I16=""),"Evidence needed","Complete"))))</x:f>
        <x:v>Input required</x:v>
      </x:c>
      <x:c r="O16" s="21" t="str"/>
    </x:row>
    <x:row r="17" ht="24" hidden="0" customHeight="1">
      <x:c r="A17" s="20" t="str">
        <x:v>A-011</x:v>
      </x:c>
      <x:c r="B17" s="20" t="str">
        <x:v>Governance</x:v>
      </x:c>
      <x:c r="C17" s="20" t="str">
        <x:v>Operations</x:v>
      </x:c>
      <x:c r="D17" s="21" t="str">
        <x:v>Consultant mandate, limits and expiry</x:v>
      </x:c>
      <x:c r="E17" s="21" t="str">
        <x:v>Prevents analysis or action outside the approved engagement.</x:v>
      </x:c>
      <x:c r="F17" s="22" t="str">
        <x:v>Applicable</x:v>
      </x:c>
      <x:c r="G17" s="22" t="str">
        <x:v>Required</x:v>
      </x:c>
      <x:c r="H17" s="22" t="str"/>
      <x:c r="I17" s="22" t="str"/>
      <x:c r="J17" s="22" t="str"/>
      <x:c r="K17" s="22" t="str">
        <x:v>Manual entry</x:v>
      </x:c>
      <x:c r="L17" s="22" t="str">
        <x:v>Unknown</x:v>
      </x:c>
      <x:c r="M17" s="22" t="str"/>
      <x:c r="N17" s="23" t="str">
        <x:f>IF(D17="","Open",IF(F17="Not Applicable","N/A",IF(OR(H17="",H17="To be confirmed"),IF(G17="Required","Input required","Open"),IF(AND(G17="Required",I17=""),"Evidence needed","Complete"))))</x:f>
        <x:v>Input required</x:v>
      </x:c>
      <x:c r="O17" s="21" t="str"/>
    </x:row>
    <x:row r="18" ht="24" hidden="0" customHeight="1">
      <x:c r="A18" s="20" t="str">
        <x:v>A-012</x:v>
      </x:c>
      <x:c r="B18" s="20" t="str">
        <x:v>Governance</x:v>
      </x:c>
      <x:c r="C18" s="20" t="str">
        <x:v>Regulation</x:v>
      </x:c>
      <x:c r="D18" s="21" t="str">
        <x:v>Internal audit, compliance and assurance responsibilities</x:v>
      </x:c>
      <x:c r="E18" s="21" t="str">
        <x:v>Defines independent review and evidence expectations.</x:v>
      </x:c>
      <x:c r="F18" s="22" t="str">
        <x:v>Applicable</x:v>
      </x:c>
      <x:c r="G18" s="22" t="str">
        <x:v>Required</x:v>
      </x:c>
      <x:c r="H18" s="22" t="str"/>
      <x:c r="I18" s="22" t="str"/>
      <x:c r="J18" s="22" t="str"/>
      <x:c r="K18" s="22" t="str">
        <x:v>Manual entry</x:v>
      </x:c>
      <x:c r="L18" s="22" t="str">
        <x:v>Unknown</x:v>
      </x:c>
      <x:c r="M18" s="22" t="str"/>
      <x:c r="N18" s="23" t="str">
        <x:f>IF(D18="","Open",IF(F18="Not Applicable","N/A",IF(OR(H18="",H18="To be confirmed"),IF(G18="Required","Input required","Open"),IF(AND(G18="Required",I18=""),"Evidence needed","Complete"))))</x:f>
        <x:v>Input required</x:v>
      </x:c>
      <x:c r="O18" s="21" t="str"/>
    </x:row>
    <x:row r="19" ht="15" hidden="0" customHeight="1">
      <x:c r="A19" s="20" t="str">
        <x:v>A-013</x:v>
      </x:c>
      <x:c r="B19" s="20" t="str">
        <x:v>Capital</x:v>
      </x:c>
      <x:c r="C19" s="20" t="str">
        <x:v>Capital</x:v>
      </x:c>
      <x:c r="D19" s="21" t="str">
        <x:v>Opening common equity and paid-in capital</x:v>
      </x:c>
      <x:c r="E19" s="21" t="str">
        <x:v>Establishes the capital baseline.</x:v>
      </x:c>
      <x:c r="F19" s="22" t="str">
        <x:v>Applicable</x:v>
      </x:c>
      <x:c r="G19" s="22" t="str">
        <x:v>Required</x:v>
      </x:c>
      <x:c r="H19" s="22" t="str"/>
      <x:c r="I19" s="22" t="str"/>
      <x:c r="J19" s="22" t="str"/>
      <x:c r="K19" s="22" t="str">
        <x:v>Manual entry</x:v>
      </x:c>
      <x:c r="L19" s="22" t="str">
        <x:v>Unknown</x:v>
      </x:c>
      <x:c r="M19" s="22" t="str"/>
      <x:c r="N19" s="23" t="str">
        <x:f>IF(D19="","Open",IF(F19="Not Applicable","N/A",IF(OR(H19="",H19="To be confirmed"),IF(G19="Required","Input required","Open"),IF(AND(G19="Required",I19=""),"Evidence needed","Complete"))))</x:f>
        <x:v>Input required</x:v>
      </x:c>
      <x:c r="O19" s="21" t="str"/>
    </x:row>
    <x:row r="20" ht="24" hidden="0" customHeight="1">
      <x:c r="A20" s="20" t="str">
        <x:v>A-014</x:v>
      </x:c>
      <x:c r="B20" s="20" t="str">
        <x:v>Capital</x:v>
      </x:c>
      <x:c r="C20" s="20" t="str">
        <x:v>Capital</x:v>
      </x:c>
      <x:c r="D20" s="21" t="str">
        <x:v>Retained earnings and distributable reserves</x:v>
      </x:c>
      <x:c r="E20" s="21" t="str">
        <x:v>Supports loss absorption and regeneration modelling.</x:v>
      </x:c>
      <x:c r="F20" s="22" t="str">
        <x:v>Applicable</x:v>
      </x:c>
      <x:c r="G20" s="22" t="str">
        <x:v>Required</x:v>
      </x:c>
      <x:c r="H20" s="22" t="str"/>
      <x:c r="I20" s="22" t="str"/>
      <x:c r="J20" s="22" t="str"/>
      <x:c r="K20" s="22" t="str">
        <x:v>Manual entry</x:v>
      </x:c>
      <x:c r="L20" s="22" t="str">
        <x:v>Unknown</x:v>
      </x:c>
      <x:c r="M20" s="22" t="str"/>
      <x:c r="N20" s="23" t="str">
        <x:f>IF(D20="","Open",IF(F20="Not Applicable","N/A",IF(OR(H20="",H20="To be confirmed"),IF(G20="Required","Input required","Open"),IF(AND(G20="Required",I20=""),"Evidence needed","Complete"))))</x:f>
        <x:v>Input required</x:v>
      </x:c>
      <x:c r="O20" s="21" t="str"/>
    </x:row>
    <x:row r="21" ht="24" hidden="0" customHeight="1">
      <x:c r="A21" s="20" t="str">
        <x:v>A-015</x:v>
      </x:c>
      <x:c r="B21" s="20" t="str">
        <x:v>Capital</x:v>
      </x:c>
      <x:c r="C21" s="20" t="str">
        <x:v>Capital</x:v>
      </x:c>
      <x:c r="D21" s="21" t="str">
        <x:v>General, specific and regulatory reserves</x:v>
      </x:c>
      <x:c r="E21" s="21" t="str">
        <x:v>Identifies ring-fenced or constrained capital resources.</x:v>
      </x:c>
      <x:c r="F21" s="22" t="str">
        <x:v>Applicable</x:v>
      </x:c>
      <x:c r="G21" s="22" t="str">
        <x:v>Required</x:v>
      </x:c>
      <x:c r="H21" s="22" t="str"/>
      <x:c r="I21" s="22" t="str"/>
      <x:c r="J21" s="22" t="str"/>
      <x:c r="K21" s="22" t="str">
        <x:v>Manual entry</x:v>
      </x:c>
      <x:c r="L21" s="22" t="str">
        <x:v>Unknown</x:v>
      </x:c>
      <x:c r="M21" s="22" t="str"/>
      <x:c r="N21" s="23" t="str">
        <x:f>IF(D21="","Open",IF(F21="Not Applicable","N/A",IF(OR(H21="",H21="To be confirmed"),IF(G21="Required","Input required","Open"),IF(AND(G21="Required",I21=""),"Evidence needed","Complete"))))</x:f>
        <x:v>Input required</x:v>
      </x:c>
      <x:c r="O21" s="21" t="str"/>
    </x:row>
    <x:row r="22" ht="24" hidden="0" customHeight="1">
      <x:c r="A22" s="20" t="str">
        <x:v>A-016</x:v>
      </x:c>
      <x:c r="B22" s="20" t="str">
        <x:v>Capital</x:v>
      </x:c>
      <x:c r="C22" s="20" t="str">
        <x:v>Capital</x:v>
      </x:c>
      <x:c r="D22" s="21" t="str">
        <x:v>Debt instruments, ranking and loss-absorption features</x:v>
      </x:c>
      <x:c r="E22" s="21" t="str">
        <x:v>Models solvency, refinancing and creditor exposure.</x:v>
      </x:c>
      <x:c r="F22" s="22" t="str">
        <x:v>Applicable</x:v>
      </x:c>
      <x:c r="G22" s="22" t="str">
        <x:v>Required</x:v>
      </x:c>
      <x:c r="H22" s="22" t="str"/>
      <x:c r="I22" s="22" t="str"/>
      <x:c r="J22" s="22" t="str"/>
      <x:c r="K22" s="22" t="str">
        <x:v>Manual entry</x:v>
      </x:c>
      <x:c r="L22" s="22" t="str">
        <x:v>Unknown</x:v>
      </x:c>
      <x:c r="M22" s="22" t="str"/>
      <x:c r="N22" s="23" t="str">
        <x:f>IF(D22="","Open",IF(F22="Not Applicable","N/A",IF(OR(H22="",H22="To be confirmed"),IF(G22="Required","Input required","Open"),IF(AND(G22="Required",I22=""),"Evidence needed","Complete"))))</x:f>
        <x:v>Input required</x:v>
      </x:c>
      <x:c r="O22" s="21" t="str"/>
    </x:row>
    <x:row r="23" ht="15" hidden="0" customHeight="1">
      <x:c r="A23" s="20" t="str">
        <x:v>A-017</x:v>
      </x:c>
      <x:c r="B23" s="20" t="str">
        <x:v>Capital</x:v>
      </x:c>
      <x:c r="C23" s="20" t="str">
        <x:v>Capital</x:v>
      </x:c>
      <x:c r="D23" s="21" t="str">
        <x:v>Debt maturity profile and refinancing calendar</x:v>
      </x:c>
      <x:c r="E23" s="21" t="str">
        <x:v>Identifies capital and liquidity cliffs.</x:v>
      </x:c>
      <x:c r="F23" s="22" t="str">
        <x:v>Applicable</x:v>
      </x:c>
      <x:c r="G23" s="22" t="str">
        <x:v>Required</x:v>
      </x:c>
      <x:c r="H23" s="22" t="str"/>
      <x:c r="I23" s="22" t="str"/>
      <x:c r="J23" s="22" t="str"/>
      <x:c r="K23" s="22" t="str">
        <x:v>Manual entry</x:v>
      </x:c>
      <x:c r="L23" s="22" t="str">
        <x:v>Unknown</x:v>
      </x:c>
      <x:c r="M23" s="22" t="str"/>
      <x:c r="N23" s="23" t="str">
        <x:f>IF(D23="","Open",IF(F23="Not Applicable","N/A",IF(OR(H23="",H23="To be confirmed"),IF(G23="Required","Input required","Open"),IF(AND(G23="Required",I23=""),"Evidence needed","Complete"))))</x:f>
        <x:v>Input required</x:v>
      </x:c>
      <x:c r="O23" s="21" t="str"/>
    </x:row>
    <x:row r="24" ht="24" hidden="0" customHeight="1">
      <x:c r="A24" s="20" t="str">
        <x:v>A-018</x:v>
      </x:c>
      <x:c r="B24" s="20" t="str">
        <x:v>Capital</x:v>
      </x:c>
      <x:c r="C24" s="20" t="str">
        <x:v>Capital</x:v>
      </x:c>
      <x:c r="D24" s="21" t="str">
        <x:v>Leverage ratios and management limits</x:v>
      </x:c>
      <x:c r="E24" s="21" t="str">
        <x:v>Calibrates financial vulnerability and management triggers.</x:v>
      </x:c>
      <x:c r="F24" s="22" t="str">
        <x:v>Applicable</x:v>
      </x:c>
      <x:c r="G24" s="22" t="str">
        <x:v>Required</x:v>
      </x:c>
      <x:c r="H24" s="22" t="str"/>
      <x:c r="I24" s="22" t="str"/>
      <x:c r="J24" s="22" t="str"/>
      <x:c r="K24" s="22" t="str">
        <x:v>Manual entry</x:v>
      </x:c>
      <x:c r="L24" s="22" t="str">
        <x:v>Unknown</x:v>
      </x:c>
      <x:c r="M24" s="22" t="str"/>
      <x:c r="N24" s="23" t="str">
        <x:f>IF(D24="","Open",IF(F24="Not Applicable","N/A",IF(OR(H24="",H24="To be confirmed"),IF(G24="Required","Input required","Open"),IF(AND(G24="Required",I24=""),"Evidence needed","Complete"))))</x:f>
        <x:v>Input required</x:v>
      </x:c>
      <x:c r="O24" s="21" t="str"/>
    </x:row>
    <x:row r="25" ht="24" hidden="0" customHeight="1">
      <x:c r="A25" s="20" t="str">
        <x:v>A-019</x:v>
      </x:c>
      <x:c r="B25" s="20" t="str">
        <x:v>Capital</x:v>
      </x:c>
      <x:c r="C25" s="20" t="str">
        <x:v>Capital</x:v>
      </x:c>
      <x:c r="D25" s="21" t="str">
        <x:v>Financial covenants, headroom and cure periods</x:v>
      </x:c>
      <x:c r="E25" s="21" t="str">
        <x:v>Supports covenant-breach scenarios and response timing.</x:v>
      </x:c>
      <x:c r="F25" s="22" t="str">
        <x:v>Applicable</x:v>
      </x:c>
      <x:c r="G25" s="22" t="str">
        <x:v>Required</x:v>
      </x:c>
      <x:c r="H25" s="22" t="str"/>
      <x:c r="I25" s="22" t="str"/>
      <x:c r="J25" s="22" t="str"/>
      <x:c r="K25" s="22" t="str">
        <x:v>Manual entry</x:v>
      </x:c>
      <x:c r="L25" s="22" t="str">
        <x:v>Unknown</x:v>
      </x:c>
      <x:c r="M25" s="22" t="str"/>
      <x:c r="N25" s="23" t="str">
        <x:f>IF(D25="","Open",IF(F25="Not Applicable","N/A",IF(OR(H25="",H25="To be confirmed"),IF(G25="Required","Input required","Open"),IF(AND(G25="Required",I25=""),"Evidence needed","Complete"))))</x:f>
        <x:v>Input required</x:v>
      </x:c>
      <x:c r="O25" s="21" t="str"/>
    </x:row>
    <x:row r="26" ht="24" hidden="0" customHeight="1">
      <x:c r="A26" s="20" t="str">
        <x:v>A-020</x:v>
      </x:c>
      <x:c r="B26" s="20" t="str">
        <x:v>Capital</x:v>
      </x:c>
      <x:c r="C26" s="20" t="str">
        <x:v>Capital</x:v>
      </x:c>
      <x:c r="D26" s="21" t="str">
        <x:v>Dividend, distribution and capital-allocation policy</x:v>
      </x:c>
      <x:c r="E26" s="21" t="str">
        <x:v>Models capital outflow and regeneration capacity.</x:v>
      </x:c>
      <x:c r="F26" s="22" t="str">
        <x:v>Applicable</x:v>
      </x:c>
      <x:c r="G26" s="22" t="str">
        <x:v>Required</x:v>
      </x:c>
      <x:c r="H26" s="22" t="str"/>
      <x:c r="I26" s="22" t="str"/>
      <x:c r="J26" s="22" t="str"/>
      <x:c r="K26" s="22" t="str">
        <x:v>Manual entry</x:v>
      </x:c>
      <x:c r="L26" s="22" t="str">
        <x:v>Unknown</x:v>
      </x:c>
      <x:c r="M26" s="22" t="str"/>
      <x:c r="N26" s="23" t="str">
        <x:f>IF(D26="","Open",IF(F26="Not Applicable","N/A",IF(OR(H26="",H26="To be confirmed"),IF(G26="Required","Input required","Open"),IF(AND(G26="Required",I26=""),"Evidence needed","Complete"))))</x:f>
        <x:v>Input required</x:v>
      </x:c>
      <x:c r="O26" s="21" t="str"/>
    </x:row>
    <x:row r="27" ht="15" hidden="0" customHeight="1">
      <x:c r="A27" s="20" t="str">
        <x:v>A-021</x:v>
      </x:c>
      <x:c r="B27" s="20" t="str">
        <x:v>Liquidity</x:v>
      </x:c>
      <x:c r="C27" s="20" t="str">
        <x:v>Liquidity</x:v>
      </x:c>
      <x:c r="D27" s="21" t="str">
        <x:v>Cash by legal entity, currency and location</x:v>
      </x:c>
      <x:c r="E27" s="21" t="str">
        <x:v>Establishes immediately available liquidity.</x:v>
      </x:c>
      <x:c r="F27" s="22" t="str">
        <x:v>Applicable</x:v>
      </x:c>
      <x:c r="G27" s="22" t="str">
        <x:v>Required</x:v>
      </x:c>
      <x:c r="H27" s="22" t="str"/>
      <x:c r="I27" s="22" t="str"/>
      <x:c r="J27" s="22" t="str"/>
      <x:c r="K27" s="22" t="str">
        <x:v>Manual entry</x:v>
      </x:c>
      <x:c r="L27" s="22" t="str">
        <x:v>Unknown</x:v>
      </x:c>
      <x:c r="M27" s="22" t="str"/>
      <x:c r="N27" s="23" t="str">
        <x:f>IF(D27="","Open",IF(F27="Not Applicable","N/A",IF(OR(H27="",H27="To be confirmed"),IF(G27="Required","Input required","Open"),IF(AND(G27="Required",I27=""),"Evidence needed","Complete"))))</x:f>
        <x:v>Input required</x:v>
      </x:c>
      <x:c r="O27" s="21" t="str"/>
    </x:row>
    <x:row r="28" ht="24" hidden="0" customHeight="1">
      <x:c r="A28" s="20" t="str">
        <x:v>A-022</x:v>
      </x:c>
      <x:c r="B28" s="20" t="str">
        <x:v>Liquidity</x:v>
      </x:c>
      <x:c r="C28" s="20" t="str">
        <x:v>Liquidity</x:v>
      </x:c>
      <x:c r="D28" s="21" t="str">
        <x:v>Committed and uncommitted facilities</x:v>
      </x:c>
      <x:c r="E28" s="21" t="str">
        <x:v>Defines contingent funding capacity and availability risk.</x:v>
      </x:c>
      <x:c r="F28" s="22" t="str">
        <x:v>Applicable</x:v>
      </x:c>
      <x:c r="G28" s="22" t="str">
        <x:v>Required</x:v>
      </x:c>
      <x:c r="H28" s="22" t="str"/>
      <x:c r="I28" s="22" t="str"/>
      <x:c r="J28" s="22" t="str"/>
      <x:c r="K28" s="22" t="str">
        <x:v>Manual entry</x:v>
      </x:c>
      <x:c r="L28" s="22" t="str">
        <x:v>Unknown</x:v>
      </x:c>
      <x:c r="M28" s="22" t="str"/>
      <x:c r="N28" s="23" t="str">
        <x:f>IF(D28="","Open",IF(F28="Not Applicable","N/A",IF(OR(H28="",H28="To be confirmed"),IF(G28="Required","Input required","Open"),IF(AND(G28="Required",I28=""),"Evidence needed","Complete"))))</x:f>
        <x:v>Input required</x:v>
      </x:c>
      <x:c r="O28" s="21" t="str"/>
    </x:row>
    <x:row r="29" ht="24" hidden="0" customHeight="1">
      <x:c r="A29" s="20" t="str">
        <x:v>A-023</x:v>
      </x:c>
      <x:c r="B29" s="20" t="str">
        <x:v>Liquidity</x:v>
      </x:c>
      <x:c r="C29" s="20" t="str">
        <x:v>Liquidity</x:v>
      </x:c>
      <x:c r="D29" s="21" t="str">
        <x:v>Expected inflows and outflows by time bucket</x:v>
      </x:c>
      <x:c r="E29" s="21" t="str">
        <x:v>Supports cash-flow stress and survival-horizon analysis.</x:v>
      </x:c>
      <x:c r="F29" s="22" t="str">
        <x:v>Applicable</x:v>
      </x:c>
      <x:c r="G29" s="22" t="str">
        <x:v>Required</x:v>
      </x:c>
      <x:c r="H29" s="22" t="str"/>
      <x:c r="I29" s="22" t="str"/>
      <x:c r="J29" s="22" t="str"/>
      <x:c r="K29" s="22" t="str">
        <x:v>Manual entry</x:v>
      </x:c>
      <x:c r="L29" s="22" t="str">
        <x:v>Unknown</x:v>
      </x:c>
      <x:c r="M29" s="22" t="str"/>
      <x:c r="N29" s="23" t="str">
        <x:f>IF(D29="","Open",IF(F29="Not Applicable","N/A",IF(OR(H29="",H29="To be confirmed"),IF(G29="Required","Input required","Open"),IF(AND(G29="Required",I29=""),"Evidence needed","Complete"))))</x:f>
        <x:v>Input required</x:v>
      </x:c>
      <x:c r="O29" s="21" t="str"/>
    </x:row>
    <x:row r="30" ht="24" hidden="0" customHeight="1">
      <x:c r="A30" s="20" t="str">
        <x:v>A-024</x:v>
      </x:c>
      <x:c r="B30" s="20" t="str">
        <x:v>Liquidity</x:v>
      </x:c>
      <x:c r="C30" s="20" t="str">
        <x:v>Liquidity</x:v>
      </x:c>
      <x:c r="D30" s="21" t="str">
        <x:v>Restricted, trapped or encumbered cash</x:v>
      </x:c>
      <x:c r="E30" s="21" t="str">
        <x:v>Prevents unavailable balances being treated as usable liquidity.</x:v>
      </x:c>
      <x:c r="F30" s="22" t="str">
        <x:v>Applicable</x:v>
      </x:c>
      <x:c r="G30" s="22" t="str">
        <x:v>Required</x:v>
      </x:c>
      <x:c r="H30" s="22" t="str"/>
      <x:c r="I30" s="22" t="str"/>
      <x:c r="J30" s="22" t="str"/>
      <x:c r="K30" s="22" t="str">
        <x:v>Manual entry</x:v>
      </x:c>
      <x:c r="L30" s="22" t="str">
        <x:v>Unknown</x:v>
      </x:c>
      <x:c r="M30" s="22" t="str"/>
      <x:c r="N30" s="23" t="str">
        <x:f>IF(D30="","Open",IF(F30="Not Applicable","N/A",IF(OR(H30="",H30="To be confirmed"),IF(G30="Required","Input required","Open"),IF(AND(G30="Required",I30=""),"Evidence needed","Complete"))))</x:f>
        <x:v>Input required</x:v>
      </x:c>
      <x:c r="O30" s="21" t="str"/>
    </x:row>
    <x:row r="31" ht="15" hidden="0" customHeight="1">
      <x:c r="A31" s="20" t="str">
        <x:v>A-025</x:v>
      </x:c>
      <x:c r="B31" s="20" t="str">
        <x:v>Liquidity</x:v>
      </x:c>
      <x:c r="C31" s="20" t="str">
        <x:v>Liquidity</x:v>
      </x:c>
      <x:c r="D31" s="21" t="str">
        <x:v>Liquidity buffers and internal minimums</x:v>
      </x:c>
      <x:c r="E31" s="21" t="str">
        <x:v>Defines alert and action thresholds.</x:v>
      </x:c>
      <x:c r="F31" s="22" t="str">
        <x:v>Applicable</x:v>
      </x:c>
      <x:c r="G31" s="22" t="str">
        <x:v>Required</x:v>
      </x:c>
      <x:c r="H31" s="22" t="str"/>
      <x:c r="I31" s="22" t="str"/>
      <x:c r="J31" s="22" t="str"/>
      <x:c r="K31" s="22" t="str">
        <x:v>Manual entry</x:v>
      </x:c>
      <x:c r="L31" s="22" t="str">
        <x:v>Unknown</x:v>
      </x:c>
      <x:c r="M31" s="22" t="str"/>
      <x:c r="N31" s="23" t="str">
        <x:f>IF(D31="","Open",IF(F31="Not Applicable","N/A",IF(OR(H31="",H31="To be confirmed"),IF(G31="Required","Input required","Open"),IF(AND(G31="Required",I31=""),"Evidence needed","Complete"))))</x:f>
        <x:v>Input required</x:v>
      </x:c>
      <x:c r="O31" s="21" t="str"/>
    </x:row>
    <x:row r="32" ht="15" hidden="0" customHeight="1">
      <x:c r="A32" s="20" t="str">
        <x:v>A-026</x:v>
      </x:c>
      <x:c r="B32" s="20" t="str">
        <x:v>Liquidity</x:v>
      </x:c>
      <x:c r="C32" s="20" t="str">
        <x:v>Liquidity</x:v>
      </x:c>
      <x:c r="D32" s="21" t="str">
        <x:v>Funding concentration by bank, investor and instrument</x:v>
      </x:c>
      <x:c r="E32" s="21" t="str">
        <x:v>Identifies withdrawal and rollover concentration.</x:v>
      </x:c>
      <x:c r="F32" s="22" t="str">
        <x:v>Applicable</x:v>
      </x:c>
      <x:c r="G32" s="22" t="str">
        <x:v>Required</x:v>
      </x:c>
      <x:c r="H32" s="22" t="str"/>
      <x:c r="I32" s="22" t="str"/>
      <x:c r="J32" s="22" t="str"/>
      <x:c r="K32" s="22" t="str">
        <x:v>Manual entry</x:v>
      </x:c>
      <x:c r="L32" s="22" t="str">
        <x:v>Unknown</x:v>
      </x:c>
      <x:c r="M32" s="22" t="str"/>
      <x:c r="N32" s="23" t="str">
        <x:f>IF(D32="","Open",IF(F32="Not Applicable","N/A",IF(OR(H32="",H32="To be confirmed"),IF(G32="Required","Input required","Open"),IF(AND(G32="Required",I32=""),"Evidence needed","Complete"))))</x:f>
        <x:v>Input required</x:v>
      </x:c>
      <x:c r="O32" s="21" t="str"/>
    </x:row>
    <x:row r="33" ht="24" hidden="0" customHeight="1">
      <x:c r="A33" s="20" t="str">
        <x:v>A-027</x:v>
      </x:c>
      <x:c r="B33" s="20" t="str">
        <x:v>Liquidity</x:v>
      </x:c>
      <x:c r="C33" s="20" t="str">
        <x:v>Liquidity</x:v>
      </x:c>
      <x:c r="D33" s="21" t="str">
        <x:v>Settlement cycles, cut-off times and intraday needs</x:v>
      </x:c>
      <x:c r="E33" s="21" t="str">
        <x:v>Models timing mismatches and payment disruption.</x:v>
      </x:c>
      <x:c r="F33" s="22" t="str">
        <x:v>Applicable</x:v>
      </x:c>
      <x:c r="G33" s="22" t="str">
        <x:v>Required</x:v>
      </x:c>
      <x:c r="H33" s="22" t="str"/>
      <x:c r="I33" s="22" t="str"/>
      <x:c r="J33" s="22" t="str"/>
      <x:c r="K33" s="22" t="str">
        <x:v>Manual entry</x:v>
      </x:c>
      <x:c r="L33" s="22" t="str">
        <x:v>Unknown</x:v>
      </x:c>
      <x:c r="M33" s="22" t="str"/>
      <x:c r="N33" s="23" t="str">
        <x:f>IF(D33="","Open",IF(F33="Not Applicable","N/A",IF(OR(H33="",H33="To be confirmed"),IF(G33="Required","Input required","Open"),IF(AND(G33="Required",I33=""),"Evidence needed","Complete"))))</x:f>
        <x:v>Input required</x:v>
      </x:c>
      <x:c r="O33" s="21" t="str"/>
    </x:row>
    <x:row r="34" ht="24" hidden="0" customHeight="1">
      <x:c r="A34" s="20" t="str">
        <x:v>A-028</x:v>
      </x:c>
      <x:c r="B34" s="20" t="str">
        <x:v>Liquidity</x:v>
      </x:c>
      <x:c r="C34" s="20" t="str">
        <x:v>Liquidity</x:v>
      </x:c>
      <x:c r="D34" s="21" t="str">
        <x:v>Currency mismatches, hedges and conversion constraints</x:v>
      </x:c>
      <x:c r="E34" s="21" t="str">
        <x:v>Measures FX-driven liquidity pressure.</x:v>
      </x:c>
      <x:c r="F34" s="22" t="str">
        <x:v>Applicable</x:v>
      </x:c>
      <x:c r="G34" s="22" t="str">
        <x:v>Required</x:v>
      </x:c>
      <x:c r="H34" s="22" t="str"/>
      <x:c r="I34" s="22" t="str"/>
      <x:c r="J34" s="22" t="str"/>
      <x:c r="K34" s="22" t="str">
        <x:v>Manual entry</x:v>
      </x:c>
      <x:c r="L34" s="22" t="str">
        <x:v>Unknown</x:v>
      </x:c>
      <x:c r="M34" s="22" t="str"/>
      <x:c r="N34" s="23" t="str">
        <x:f>IF(D34="","Open",IF(F34="Not Applicable","N/A",IF(OR(H34="",H34="To be confirmed"),IF(G34="Required","Input required","Open"),IF(AND(G34="Required",I34=""),"Evidence needed","Complete"))))</x:f>
        <x:v>Input required</x:v>
      </x:c>
      <x:c r="O34" s="21" t="str"/>
    </x:row>
    <x:row r="35" ht="24" hidden="0" customHeight="1">
      <x:c r="A35" s="20" t="str">
        <x:v>A-029</x:v>
      </x:c>
      <x:c r="B35" s="20" t="str">
        <x:v>Operations</x:v>
      </x:c>
      <x:c r="C35" s="20" t="str">
        <x:v>Operations</x:v>
      </x:c>
      <x:c r="D35" s="21" t="str">
        <x:v>End-to-end process inventory with process owners</x:v>
      </x:c>
      <x:c r="E35" s="21" t="str">
        <x:v>Provides the operating map for dependency and failure analysis.</x:v>
      </x:c>
      <x:c r="F35" s="22" t="str">
        <x:v>Applicable</x:v>
      </x:c>
      <x:c r="G35" s="22" t="str">
        <x:v>Required</x:v>
      </x:c>
      <x:c r="H35" s="22" t="str"/>
      <x:c r="I35" s="22" t="str"/>
      <x:c r="J35" s="22" t="str"/>
      <x:c r="K35" s="22" t="str">
        <x:v>Manual entry</x:v>
      </x:c>
      <x:c r="L35" s="22" t="str">
        <x:v>Unknown</x:v>
      </x:c>
      <x:c r="M35" s="22" t="str"/>
      <x:c r="N35" s="23" t="str">
        <x:f>IF(D35="","Open",IF(F35="Not Applicable","N/A",IF(OR(H35="",H35="To be confirmed"),IF(G35="Required","Input required","Open"),IF(AND(G35="Required",I35=""),"Evidence needed","Complete"))))</x:f>
        <x:v>Input required</x:v>
      </x:c>
      <x:c r="O35" s="21" t="str"/>
    </x:row>
    <x:row r="36" ht="24" hidden="0" customHeight="1">
      <x:c r="A36" s="20" t="str">
        <x:v>A-030</x:v>
      </x:c>
      <x:c r="B36" s="20" t="str">
        <x:v>Operations</x:v>
      </x:c>
      <x:c r="C36" s="20" t="str">
        <x:v>Operations</x:v>
      </x:c>
      <x:c r="D36" s="21" t="str">
        <x:v>Critical process inputs, outputs and upstream/downstream dependencies</x:v>
      </x:c>
      <x:c r="E36" s="21" t="str">
        <x:v>Supports connected-impact modelling.</x:v>
      </x:c>
      <x:c r="F36" s="22" t="str">
        <x:v>Applicable</x:v>
      </x:c>
      <x:c r="G36" s="22" t="str">
        <x:v>Required</x:v>
      </x:c>
      <x:c r="H36" s="22" t="str"/>
      <x:c r="I36" s="22" t="str"/>
      <x:c r="J36" s="22" t="str"/>
      <x:c r="K36" s="22" t="str">
        <x:v>Manual entry</x:v>
      </x:c>
      <x:c r="L36" s="22" t="str">
        <x:v>Unknown</x:v>
      </x:c>
      <x:c r="M36" s="22" t="str"/>
      <x:c r="N36" s="23" t="str">
        <x:f>IF(D36="","Open",IF(F36="Not Applicable","N/A",IF(OR(H36="",H36="To be confirmed"),IF(G36="Required","Input required","Open"),IF(AND(G36="Required",I36=""),"Evidence needed","Complete"))))</x:f>
        <x:v>Input required</x:v>
      </x:c>
      <x:c r="O36" s="21" t="str"/>
    </x:row>
    <x:row r="37" ht="24" hidden="0" customHeight="1">
      <x:c r="A37" s="20" t="str">
        <x:v>A-031</x:v>
      </x:c>
      <x:c r="B37" s="20" t="str">
        <x:v>Operations</x:v>
      </x:c>
      <x:c r="C37" s="20" t="str">
        <x:v>Operations</x:v>
      </x:c>
      <x:c r="D37" s="21" t="str">
        <x:v>Key systems, applications and infrastructure</x:v>
      </x:c>
      <x:c r="E37" s="21" t="str">
        <x:v>Identifies technology dependencies and failure points.</x:v>
      </x:c>
      <x:c r="F37" s="22" t="str">
        <x:v>Applicable</x:v>
      </x:c>
      <x:c r="G37" s="22" t="str">
        <x:v>Required</x:v>
      </x:c>
      <x:c r="H37" s="22" t="str"/>
      <x:c r="I37" s="22" t="str"/>
      <x:c r="J37" s="22" t="str"/>
      <x:c r="K37" s="22" t="str">
        <x:v>Manual entry</x:v>
      </x:c>
      <x:c r="L37" s="22" t="str">
        <x:v>Unknown</x:v>
      </x:c>
      <x:c r="M37" s="22" t="str"/>
      <x:c r="N37" s="23" t="str">
        <x:f>IF(D37="","Open",IF(F37="Not Applicable","N/A",IF(OR(H37="",H37="To be confirmed"),IF(G37="Required","Input required","Open"),IF(AND(G37="Required",I37=""),"Evidence needed","Complete"))))</x:f>
        <x:v>Input required</x:v>
      </x:c>
      <x:c r="O37" s="21" t="str"/>
    </x:row>
    <x:row r="38" ht="24" hidden="0" customHeight="1">
      <x:c r="A38" s="20" t="str">
        <x:v>A-032</x:v>
      </x:c>
      <x:c r="B38" s="20" t="str">
        <x:v>Operations</x:v>
      </x:c>
      <x:c r="C38" s="20" t="str">
        <x:v>Operations</x:v>
      </x:c>
      <x:c r="D38" s="21" t="str">
        <x:v>Manual workarounds and capacity limits</x:v>
      </x:c>
      <x:c r="E38" s="21" t="str">
        <x:v>Determines whether disrupted services can continue safely.</x:v>
      </x:c>
      <x:c r="F38" s="22" t="str">
        <x:v>Applicable</x:v>
      </x:c>
      <x:c r="G38" s="22" t="str">
        <x:v>Required</x:v>
      </x:c>
      <x:c r="H38" s="22" t="str"/>
      <x:c r="I38" s="22" t="str"/>
      <x:c r="J38" s="22" t="str"/>
      <x:c r="K38" s="22" t="str">
        <x:v>Manual entry</x:v>
      </x:c>
      <x:c r="L38" s="22" t="str">
        <x:v>Unknown</x:v>
      </x:c>
      <x:c r="M38" s="22" t="str"/>
      <x:c r="N38" s="23" t="str">
        <x:f>IF(D38="","Open",IF(F38="Not Applicable","N/A",IF(OR(H38="",H38="To be confirmed"),IF(G38="Required","Input required","Open"),IF(AND(G38="Required",I38=""),"Evidence needed","Complete"))))</x:f>
        <x:v>Input required</x:v>
      </x:c>
      <x:c r="O38" s="21" t="str"/>
    </x:row>
    <x:row r="39" ht="15" hidden="0" customHeight="1">
      <x:c r="A39" s="20" t="str">
        <x:v>A-033</x:v>
      </x:c>
      <x:c r="B39" s="20" t="str">
        <x:v>Operations</x:v>
      </x:c>
      <x:c r="C39" s="20" t="str">
        <x:v>Operations</x:v>
      </x:c>
      <x:c r="D39" s="21" t="str">
        <x:v>Key personnel, specialist roles and succession coverage</x:v>
      </x:c>
      <x:c r="E39" s="21" t="str">
        <x:v>Measures key-person and staffing resilience.</x:v>
      </x:c>
      <x:c r="F39" s="22" t="str">
        <x:v>Applicable</x:v>
      </x:c>
      <x:c r="G39" s="22" t="str">
        <x:v>Required</x:v>
      </x:c>
      <x:c r="H39" s="22" t="str"/>
      <x:c r="I39" s="22" t="str"/>
      <x:c r="J39" s="22" t="str"/>
      <x:c r="K39" s="22" t="str">
        <x:v>Manual entry</x:v>
      </x:c>
      <x:c r="L39" s="22" t="str">
        <x:v>Unknown</x:v>
      </x:c>
      <x:c r="M39" s="22" t="str"/>
      <x:c r="N39" s="23" t="str">
        <x:f>IF(D39="","Open",IF(F39="Not Applicable","N/A",IF(OR(H39="",H39="To be confirmed"),IF(G39="Required","Input required","Open"),IF(AND(G39="Required",I39=""),"Evidence needed","Complete"))))</x:f>
        <x:v>Input required</x:v>
      </x:c>
      <x:c r="O39" s="21" t="str"/>
    </x:row>
    <x:row r="40" ht="15" hidden="0" customHeight="1">
      <x:c r="A40" s="20" t="str">
        <x:v>A-034</x:v>
      </x:c>
      <x:c r="B40" s="20" t="str">
        <x:v>Operations</x:v>
      </x:c>
      <x:c r="C40" s="20" t="str">
        <x:v>Operations</x:v>
      </x:c>
      <x:c r="D40" s="21" t="str">
        <x:v>Material outsourcing and third-party services</x:v>
      </x:c>
      <x:c r="E40" s="21" t="str">
        <x:v>Identifies external operational dependencies.</x:v>
      </x:c>
      <x:c r="F40" s="22" t="str">
        <x:v>Applicable</x:v>
      </x:c>
      <x:c r="G40" s="22" t="str">
        <x:v>Required</x:v>
      </x:c>
      <x:c r="H40" s="22" t="str"/>
      <x:c r="I40" s="22" t="str"/>
      <x:c r="J40" s="22" t="str"/>
      <x:c r="K40" s="22" t="str">
        <x:v>Manual entry</x:v>
      </x:c>
      <x:c r="L40" s="22" t="str">
        <x:v>Unknown</x:v>
      </x:c>
      <x:c r="M40" s="22" t="str"/>
      <x:c r="N40" s="23" t="str">
        <x:f>IF(D40="","Open",IF(F40="Not Applicable","N/A",IF(OR(H40="",H40="To be confirmed"),IF(G40="Required","Input required","Open"),IF(AND(G40="Required",I40=""),"Evidence needed","Complete"))))</x:f>
        <x:v>Input required</x:v>
      </x:c>
      <x:c r="O40" s="21" t="str"/>
    </x:row>
    <x:row r="41" ht="24" hidden="0" customHeight="1">
      <x:c r="A41" s="20" t="str">
        <x:v>A-035</x:v>
      </x:c>
      <x:c r="B41" s="20" t="str">
        <x:v>Operations</x:v>
      </x:c>
      <x:c r="C41" s="20" t="str">
        <x:v>Operations</x:v>
      </x:c>
      <x:c r="D41" s="21" t="str">
        <x:v>Service levels, recovery objectives and contractual remedies</x:v>
      </x:c>
      <x:c r="E41" s="21" t="str">
        <x:v>Defines operational thresholds and recovery commitments.</x:v>
      </x:c>
      <x:c r="F41" s="22" t="str">
        <x:v>Applicable</x:v>
      </x:c>
      <x:c r="G41" s="22" t="str">
        <x:v>Required</x:v>
      </x:c>
      <x:c r="H41" s="22" t="str"/>
      <x:c r="I41" s="22" t="str"/>
      <x:c r="J41" s="22" t="str"/>
      <x:c r="K41" s="22" t="str">
        <x:v>Manual entry</x:v>
      </x:c>
      <x:c r="L41" s="22" t="str">
        <x:v>Unknown</x:v>
      </x:c>
      <x:c r="M41" s="22" t="str"/>
      <x:c r="N41" s="23" t="str">
        <x:f>IF(D41="","Open",IF(F41="Not Applicable","N/A",IF(OR(H41="",H41="To be confirmed"),IF(G41="Required","Input required","Open"),IF(AND(G41="Required",I41=""),"Evidence needed","Complete"))))</x:f>
        <x:v>Input required</x:v>
      </x:c>
      <x:c r="O41" s="21" t="str"/>
    </x:row>
    <x:row r="42" ht="15" hidden="0" customHeight="1">
      <x:c r="A42" s="20" t="str">
        <x:v>A-036</x:v>
      </x:c>
      <x:c r="B42" s="20" t="str">
        <x:v>Operations</x:v>
      </x:c>
      <x:c r="C42" s="20" t="str">
        <x:v>Operations</x:v>
      </x:c>
      <x:c r="D42" s="21" t="str">
        <x:v>Business continuity and disaster recovery arrangements</x:v>
      </x:c>
      <x:c r="E42" s="21" t="str">
        <x:v>Supports disruption and recovery simulation.</x:v>
      </x:c>
      <x:c r="F42" s="22" t="str">
        <x:v>Applicable</x:v>
      </x:c>
      <x:c r="G42" s="22" t="str">
        <x:v>Required</x:v>
      </x:c>
      <x:c r="H42" s="22" t="str"/>
      <x:c r="I42" s="22" t="str"/>
      <x:c r="J42" s="22" t="str"/>
      <x:c r="K42" s="22" t="str">
        <x:v>Manual entry</x:v>
      </x:c>
      <x:c r="L42" s="22" t="str">
        <x:v>Unknown</x:v>
      </x:c>
      <x:c r="M42" s="22" t="str"/>
      <x:c r="N42" s="23" t="str">
        <x:f>IF(D42="","Open",IF(F42="Not Applicable","N/A",IF(OR(H42="",H42="To be confirmed"),IF(G42="Required","Input required","Open"),IF(AND(G42="Required",I42=""),"Evidence needed","Complete"))))</x:f>
        <x:v>Input required</x:v>
      </x:c>
      <x:c r="O42" s="21" t="str"/>
    </x:row>
    <x:row r="43" ht="24" hidden="0" customHeight="1">
      <x:c r="A43" s="20" t="str">
        <x:v>A-037</x:v>
      </x:c>
      <x:c r="B43" s="20" t="str">
        <x:v>Operations</x:v>
      </x:c>
      <x:c r="C43" s="20" t="str">
        <x:v>Operations</x:v>
      </x:c>
      <x:c r="D43" s="21" t="str">
        <x:v>Cybersecurity controls and material cyber scenarios</x:v>
      </x:c>
      <x:c r="E43" s="21" t="str">
        <x:v>Connects cyber events to operational and financial outcomes.</x:v>
      </x:c>
      <x:c r="F43" s="22" t="str">
        <x:v>Applicable</x:v>
      </x:c>
      <x:c r="G43" s="22" t="str">
        <x:v>Required</x:v>
      </x:c>
      <x:c r="H43" s="22" t="str"/>
      <x:c r="I43" s="22" t="str"/>
      <x:c r="J43" s="22" t="str"/>
      <x:c r="K43" s="22" t="str">
        <x:v>Manual entry</x:v>
      </x:c>
      <x:c r="L43" s="22" t="str">
        <x:v>Unknown</x:v>
      </x:c>
      <x:c r="M43" s="22" t="str"/>
      <x:c r="N43" s="23" t="str">
        <x:f>IF(D43="","Open",IF(F43="Not Applicable","N/A",IF(OR(H43="",H43="To be confirmed"),IF(G43="Required","Input required","Open"),IF(AND(G43="Required",I43=""),"Evidence needed","Complete"))))</x:f>
        <x:v>Input required</x:v>
      </x:c>
      <x:c r="O43" s="21" t="str"/>
    </x:row>
    <x:row r="44" ht="24" hidden="0" customHeight="1">
      <x:c r="A44" s="20" t="str">
        <x:v>A-038</x:v>
      </x:c>
      <x:c r="B44" s="20" t="str">
        <x:v>Operations</x:v>
      </x:c>
      <x:c r="C44" s="20" t="str">
        <x:v>Operations</x:v>
      </x:c>
      <x:c r="D44" s="21" t="str">
        <x:v>Fraud controls, loss history and investigation process</x:v>
      </x:c>
      <x:c r="E44" s="21" t="str">
        <x:v>Calibrates prevent, detect and contain pathways.</x:v>
      </x:c>
      <x:c r="F44" s="22" t="str">
        <x:v>Applicable</x:v>
      </x:c>
      <x:c r="G44" s="22" t="str">
        <x:v>Required</x:v>
      </x:c>
      <x:c r="H44" s="22" t="str"/>
      <x:c r="I44" s="22" t="str"/>
      <x:c r="J44" s="22" t="str"/>
      <x:c r="K44" s="22" t="str">
        <x:v>Manual entry</x:v>
      </x:c>
      <x:c r="L44" s="22" t="str">
        <x:v>Unknown</x:v>
      </x:c>
      <x:c r="M44" s="22" t="str"/>
      <x:c r="N44" s="23" t="str">
        <x:f>IF(D44="","Open",IF(F44="Not Applicable","N/A",IF(OR(H44="",H44="To be confirmed"),IF(G44="Required","Input required","Open"),IF(AND(G44="Required",I44=""),"Evidence needed","Complete"))))</x:f>
        <x:v>Input required</x:v>
      </x:c>
      <x:c r="O44" s="21" t="str"/>
    </x:row>
    <x:row r="45" ht="24" hidden="0" customHeight="1">
      <x:c r="A45" s="20" t="str">
        <x:v>A-039</x:v>
      </x:c>
      <x:c r="B45" s="20" t="str">
        <x:v>Operations</x:v>
      </x:c>
      <x:c r="C45" s="20" t="str">
        <x:v>Operations</x:v>
      </x:c>
      <x:c r="D45" s="21" t="str">
        <x:v>Incident, problem and change-management processes</x:v>
      </x:c>
      <x:c r="E45" s="21" t="str">
        <x:v>Defines response discipline and evidence capture.</x:v>
      </x:c>
      <x:c r="F45" s="22" t="str">
        <x:v>Applicable</x:v>
      </x:c>
      <x:c r="G45" s="22" t="str">
        <x:v>Required</x:v>
      </x:c>
      <x:c r="H45" s="22" t="str"/>
      <x:c r="I45" s="22" t="str"/>
      <x:c r="J45" s="22" t="str"/>
      <x:c r="K45" s="22" t="str">
        <x:v>Manual entry</x:v>
      </x:c>
      <x:c r="L45" s="22" t="str">
        <x:v>Unknown</x:v>
      </x:c>
      <x:c r="M45" s="22" t="str"/>
      <x:c r="N45" s="23" t="str">
        <x:f>IF(D45="","Open",IF(F45="Not Applicable","N/A",IF(OR(H45="",H45="To be confirmed"),IF(G45="Required","Input required","Open"),IF(AND(G45="Required",I45=""),"Evidence needed","Complete"))))</x:f>
        <x:v>Input required</x:v>
      </x:c>
      <x:c r="O45" s="21" t="str"/>
    </x:row>
    <x:row r="46" ht="24" hidden="0" customHeight="1">
      <x:c r="A46" s="20" t="str">
        <x:v>A-040</x:v>
      </x:c>
      <x:c r="B46" s="20" t="str">
        <x:v>Operations</x:v>
      </x:c>
      <x:c r="C46" s="20" t="str">
        <x:v>Operations</x:v>
      </x:c>
      <x:c r="D46" s="21" t="str">
        <x:v>Operational loss events for the available historical period</x:v>
      </x:c>
      <x:c r="E46" s="21" t="str">
        <x:v>Provides calibration evidence for frequency and severity.</x:v>
      </x:c>
      <x:c r="F46" s="22" t="str">
        <x:v>Applicable</x:v>
      </x:c>
      <x:c r="G46" s="22" t="str">
        <x:v>Required</x:v>
      </x:c>
      <x:c r="H46" s="22" t="str"/>
      <x:c r="I46" s="22" t="str"/>
      <x:c r="J46" s="22" t="str"/>
      <x:c r="K46" s="22" t="str">
        <x:v>Manual entry</x:v>
      </x:c>
      <x:c r="L46" s="22" t="str">
        <x:v>Unknown</x:v>
      </x:c>
      <x:c r="M46" s="22" t="str"/>
      <x:c r="N46" s="23" t="str">
        <x:f>IF(D46="","Open",IF(F46="Not Applicable","N/A",IF(OR(H46="",H46="To be confirmed"),IF(G46="Required","Input required","Open"),IF(AND(G46="Required",I46=""),"Evidence needed","Complete"))))</x:f>
        <x:v>Input required</x:v>
      </x:c>
      <x:c r="O46" s="21" t="str"/>
    </x:row>
    <x:row r="47" ht="24" hidden="0" customHeight="1">
      <x:c r="A47" s="20" t="str">
        <x:v>A-041</x:v>
      </x:c>
      <x:c r="B47" s="20" t="str">
        <x:v>Regulatory obligations</x:v>
      </x:c>
      <x:c r="C47" s="20" t="str">
        <x:v>Regulation</x:v>
      </x:c>
      <x:c r="D47" s="21" t="str">
        <x:v>Applicable licences, registrations and supervisory authorities</x:v>
      </x:c>
      <x:c r="E47" s="21" t="str">
        <x:v>Defines the legal operating perimeter.</x:v>
      </x:c>
      <x:c r="F47" s="22" t="str">
        <x:v>Applicable</x:v>
      </x:c>
      <x:c r="G47" s="22" t="str">
        <x:v>Required</x:v>
      </x:c>
      <x:c r="H47" s="22" t="str"/>
      <x:c r="I47" s="22" t="str"/>
      <x:c r="J47" s="22" t="str"/>
      <x:c r="K47" s="22" t="str">
        <x:v>Manual entry</x:v>
      </x:c>
      <x:c r="L47" s="22" t="str">
        <x:v>Unknown</x:v>
      </x:c>
      <x:c r="M47" s="22" t="str"/>
      <x:c r="N47" s="23" t="str">
        <x:f>IF(D47="","Open",IF(F47="Not Applicable","N/A",IF(OR(H47="",H47="To be confirmed"),IF(G47="Required","Input required","Open"),IF(AND(G47="Required",I47=""),"Evidence needed","Complete"))))</x:f>
        <x:v>Input required</x:v>
      </x:c>
      <x:c r="O47" s="21" t="str"/>
    </x:row>
    <x:row r="48" ht="15" hidden="0" customHeight="1">
      <x:c r="A48" s="20" t="str">
        <x:v>A-042</x:v>
      </x:c>
      <x:c r="B48" s="20" t="str">
        <x:v>Regulatory obligations</x:v>
      </x:c>
      <x:c r="C48" s="20" t="str">
        <x:v>Regulation</x:v>
      </x:c>
      <x:c r="D48" s="21" t="str">
        <x:v>Regulatory reporting calendar and responsible owners</x:v>
      </x:c>
      <x:c r="E48" s="21" t="str">
        <x:v>Supports obligation monitoring and escalation.</x:v>
      </x:c>
      <x:c r="F48" s="22" t="str">
        <x:v>Applicable</x:v>
      </x:c>
      <x:c r="G48" s="22" t="str">
        <x:v>Required</x:v>
      </x:c>
      <x:c r="H48" s="22" t="str"/>
      <x:c r="I48" s="22" t="str"/>
      <x:c r="J48" s="22" t="str"/>
      <x:c r="K48" s="22" t="str">
        <x:v>Manual entry</x:v>
      </x:c>
      <x:c r="L48" s="22" t="str">
        <x:v>Unknown</x:v>
      </x:c>
      <x:c r="M48" s="22" t="str"/>
      <x:c r="N48" s="23" t="str">
        <x:f>IF(D48="","Open",IF(F48="Not Applicable","N/A",IF(OR(H48="",H48="To be confirmed"),IF(G48="Required","Input required","Open"),IF(AND(G48="Required",I48=""),"Evidence needed","Complete"))))</x:f>
        <x:v>Input required</x:v>
      </x:c>
      <x:c r="O48" s="21" t="str"/>
    </x:row>
    <x:row r="49" ht="24" hidden="0" customHeight="1">
      <x:c r="A49" s="20" t="str">
        <x:v>A-043</x:v>
      </x:c>
      <x:c r="B49" s="20" t="str">
        <x:v>Regulatory obligations</x:v>
      </x:c>
      <x:c r="C49" s="20" t="str">
        <x:v>Regulation</x:v>
      </x:c>
      <x:c r="D49" s="21" t="str">
        <x:v>Material prudential, conduct, consumer and financial-crime obligations</x:v>
      </x:c>
      <x:c r="E49" s="21" t="str">
        <x:v>Maps compliance shocks to enterprise impact.</x:v>
      </x:c>
      <x:c r="F49" s="22" t="str">
        <x:v>Applicable</x:v>
      </x:c>
      <x:c r="G49" s="22" t="str">
        <x:v>Required</x:v>
      </x:c>
      <x:c r="H49" s="22" t="str"/>
      <x:c r="I49" s="22" t="str"/>
      <x:c r="J49" s="22" t="str"/>
      <x:c r="K49" s="22" t="str">
        <x:v>Manual entry</x:v>
      </x:c>
      <x:c r="L49" s="22" t="str">
        <x:v>Unknown</x:v>
      </x:c>
      <x:c r="M49" s="22" t="str"/>
      <x:c r="N49" s="23" t="str">
        <x:f>IF(D49="","Open",IF(F49="Not Applicable","N/A",IF(OR(H49="",H49="To be confirmed"),IF(G49="Required","Input required","Open"),IF(AND(G49="Required",I49=""),"Evidence needed","Complete"))))</x:f>
        <x:v>Input required</x:v>
      </x:c>
      <x:c r="O49" s="21" t="str"/>
    </x:row>
    <x:row r="50" ht="24" hidden="0" customHeight="1">
      <x:c r="A50" s="20" t="str">
        <x:v>A-044</x:v>
      </x:c>
      <x:c r="B50" s="20" t="str">
        <x:v>Regulatory obligations</x:v>
      </x:c>
      <x:c r="C50" s="20" t="str">
        <x:v>Regulation</x:v>
      </x:c>
      <x:c r="D50" s="21" t="str">
        <x:v>Open findings, remediation commitments and due dates</x:v>
      </x:c>
      <x:c r="E50" s="21" t="str">
        <x:v>Identifies current regulatory and execution exposure.</x:v>
      </x:c>
      <x:c r="F50" s="22" t="str">
        <x:v>Applicable</x:v>
      </x:c>
      <x:c r="G50" s="22" t="str">
        <x:v>Required</x:v>
      </x:c>
      <x:c r="H50" s="22" t="str"/>
      <x:c r="I50" s="22" t="str"/>
      <x:c r="J50" s="22" t="str"/>
      <x:c r="K50" s="22" t="str">
        <x:v>Manual entry</x:v>
      </x:c>
      <x:c r="L50" s="22" t="str">
        <x:v>Unknown</x:v>
      </x:c>
      <x:c r="M50" s="22" t="str"/>
      <x:c r="N50" s="23" t="str">
        <x:f>IF(D50="","Open",IF(F50="Not Applicable","N/A",IF(OR(H50="",H50="To be confirmed"),IF(G50="Required","Input required","Open"),IF(AND(G50="Required",I50=""),"Evidence needed","Complete"))))</x:f>
        <x:v>Input required</x:v>
      </x:c>
      <x:c r="O50" s="21" t="str"/>
    </x:row>
    <x:row r="51" ht="24" hidden="0" customHeight="1">
      <x:c r="A51" s="20" t="str">
        <x:v>A-045</x:v>
      </x:c>
      <x:c r="B51" s="20" t="str">
        <x:v>Regulatory obligations</x:v>
      </x:c>
      <x:c r="C51" s="20" t="str">
        <x:v>Regulation</x:v>
      </x:c>
      <x:c r="D51" s="21" t="str">
        <x:v>Sanctions, AML, KYC and transaction-monitoring controls</x:v>
      </x:c>
      <x:c r="E51" s="21" t="str">
        <x:v>Supports corridor, merchant and counterparty restrictions.</x:v>
      </x:c>
      <x:c r="F51" s="22" t="str">
        <x:v>Applicable</x:v>
      </x:c>
      <x:c r="G51" s="22" t="str">
        <x:v>Required</x:v>
      </x:c>
      <x:c r="H51" s="22" t="str"/>
      <x:c r="I51" s="22" t="str"/>
      <x:c r="J51" s="22" t="str"/>
      <x:c r="K51" s="22" t="str">
        <x:v>Manual entry</x:v>
      </x:c>
      <x:c r="L51" s="22" t="str">
        <x:v>Unknown</x:v>
      </x:c>
      <x:c r="M51" s="22" t="str"/>
      <x:c r="N51" s="23" t="str">
        <x:f>IF(D51="","Open",IF(F51="Not Applicable","N/A",IF(OR(H51="",H51="To be confirmed"),IF(G51="Required","Input required","Open"),IF(AND(G51="Required",I51=""),"Evidence needed","Complete"))))</x:f>
        <x:v>Input required</x:v>
      </x:c>
      <x:c r="O51" s="21" t="str"/>
    </x:row>
    <x:row r="52" ht="24" hidden="0" customHeight="1">
      <x:c r="A52" s="20" t="str">
        <x:v>A-046</x:v>
      </x:c>
      <x:c r="B52" s="20" t="str">
        <x:v>Regulatory obligations</x:v>
      </x:c>
      <x:c r="C52" s="20" t="str">
        <x:v>Regulation</x:v>
      </x:c>
      <x:c r="D52" s="21" t="str">
        <x:v>Record-retention and evidence requirements</x:v>
      </x:c>
      <x:c r="E52" s="21" t="str">
        <x:v>Defines the minimum auditable evidence period.</x:v>
      </x:c>
      <x:c r="F52" s="22" t="str">
        <x:v>Applicable</x:v>
      </x:c>
      <x:c r="G52" s="22" t="str">
        <x:v>Required</x:v>
      </x:c>
      <x:c r="H52" s="22" t="str"/>
      <x:c r="I52" s="22" t="str"/>
      <x:c r="J52" s="22" t="str"/>
      <x:c r="K52" s="22" t="str">
        <x:v>Manual entry</x:v>
      </x:c>
      <x:c r="L52" s="22" t="str">
        <x:v>Unknown</x:v>
      </x:c>
      <x:c r="M52" s="22" t="str"/>
      <x:c r="N52" s="23" t="str">
        <x:f>IF(D52="","Open",IF(F52="Not Applicable","N/A",IF(OR(H52="",H52="To be confirmed"),IF(G52="Required","Input required","Open"),IF(AND(G52="Required",I52=""),"Evidence needed","Complete"))))</x:f>
        <x:v>Input required</x:v>
      </x:c>
      <x:c r="O52" s="21" t="str"/>
    </x:row>
    <x:row r="53" ht="15" hidden="0" customHeight="1">
      <x:c r="A53" s="20" t="str">
        <x:v>A-047</x:v>
      </x:c>
      <x:c r="B53" s="20" t="str">
        <x:v>Merchants &amp; counterparties</x:v>
      </x:c>
      <x:c r="C53" s="20" t="str">
        <x:v>Merchants</x:v>
      </x:c>
      <x:c r="D53" s="21" t="str">
        <x:v>Customer, merchant and counterparty segmentation</x:v>
      </x:c>
      <x:c r="E53" s="21" t="str">
        <x:v>Provides a consistent exposure taxonomy.</x:v>
      </x:c>
      <x:c r="F53" s="22" t="str">
        <x:v>Applicable</x:v>
      </x:c>
      <x:c r="G53" s="22" t="str">
        <x:v>Required</x:v>
      </x:c>
      <x:c r="H53" s="22" t="str"/>
      <x:c r="I53" s="22" t="str"/>
      <x:c r="J53" s="22" t="str"/>
      <x:c r="K53" s="22" t="str">
        <x:v>Manual entry</x:v>
      </x:c>
      <x:c r="L53" s="22" t="str">
        <x:v>Unknown</x:v>
      </x:c>
      <x:c r="M53" s="22" t="str"/>
      <x:c r="N53" s="23" t="str">
        <x:f>IF(D53="","Open",IF(F53="Not Applicable","N/A",IF(OR(H53="",H53="To be confirmed"),IF(G53="Required","Input required","Open"),IF(AND(G53="Required",I53=""),"Evidence needed","Complete"))))</x:f>
        <x:v>Input required</x:v>
      </x:c>
      <x:c r="O53" s="21" t="str"/>
    </x:row>
    <x:row r="54" ht="24" hidden="0" customHeight="1">
      <x:c r="A54" s="20" t="str">
        <x:v>A-048</x:v>
      </x:c>
      <x:c r="B54" s="20" t="str">
        <x:v>Merchants &amp; counterparties</x:v>
      </x:c>
      <x:c r="C54" s="20" t="str">
        <x:v>Merchants</x:v>
      </x:c>
      <x:c r="D54" s="21" t="str">
        <x:v>Top concentrations by revenue, exposure, volume and dependency</x:v>
      </x:c>
      <x:c r="E54" s="21" t="str">
        <x:v>Identifies single-name and portfolio concentration.</x:v>
      </x:c>
      <x:c r="F54" s="22" t="str">
        <x:v>Applicable</x:v>
      </x:c>
      <x:c r="G54" s="22" t="str">
        <x:v>Required</x:v>
      </x:c>
      <x:c r="H54" s="22" t="str"/>
      <x:c r="I54" s="22" t="str"/>
      <x:c r="J54" s="22" t="str"/>
      <x:c r="K54" s="22" t="str">
        <x:v>Manual entry</x:v>
      </x:c>
      <x:c r="L54" s="22" t="str">
        <x:v>Unknown</x:v>
      </x:c>
      <x:c r="M54" s="22" t="str"/>
      <x:c r="N54" s="23" t="str">
        <x:f>IF(D54="","Open",IF(F54="Not Applicable","N/A",IF(OR(H54="",H54="To be confirmed"),IF(G54="Required","Input required","Open"),IF(AND(G54="Required",I54=""),"Evidence needed","Complete"))))</x:f>
        <x:v>Input required</x:v>
      </x:c>
      <x:c r="O54" s="21" t="str"/>
    </x:row>
    <x:row r="55" ht="15" hidden="0" customHeight="1">
      <x:c r="A55" s="20" t="str">
        <x:v>A-049</x:v>
      </x:c>
      <x:c r="B55" s="20" t="str">
        <x:v>Merchants &amp; counterparties</x:v>
      </x:c>
      <x:c r="C55" s="20" t="str">
        <x:v>Merchants</x:v>
      </x:c>
      <x:c r="D55" s="21" t="str">
        <x:v>Credit, settlement, reserve and collateral terms</x:v>
      </x:c>
      <x:c r="E55" s="21" t="str">
        <x:v>Models loss, liquidity and recovery rights.</x:v>
      </x:c>
      <x:c r="F55" s="22" t="str">
        <x:v>Applicable</x:v>
      </x:c>
      <x:c r="G55" s="22" t="str">
        <x:v>Required</x:v>
      </x:c>
      <x:c r="H55" s="22" t="str"/>
      <x:c r="I55" s="22" t="str"/>
      <x:c r="J55" s="22" t="str"/>
      <x:c r="K55" s="22" t="str">
        <x:v>Manual entry</x:v>
      </x:c>
      <x:c r="L55" s="22" t="str">
        <x:v>Unknown</x:v>
      </x:c>
      <x:c r="M55" s="22" t="str"/>
      <x:c r="N55" s="23" t="str">
        <x:f>IF(D55="","Open",IF(F55="Not Applicable","N/A",IF(OR(H55="",H55="To be confirmed"),IF(G55="Required","Input required","Open"),IF(AND(G55="Required",I55=""),"Evidence needed","Complete"))))</x:f>
        <x:v>Input required</x:v>
      </x:c>
      <x:c r="O55" s="21" t="str"/>
    </x:row>
    <x:row r="56" ht="24" hidden="0" customHeight="1">
      <x:c r="A56" s="20" t="str">
        <x:v>A-050</x:v>
      </x:c>
      <x:c r="B56" s="20" t="str">
        <x:v>Merchants &amp; counterparties</x:v>
      </x:c>
      <x:c r="C56" s="20" t="str">
        <x:v>Merchants</x:v>
      </x:c>
      <x:c r="D56" s="21" t="str">
        <x:v>Chargeback, dispute, refund and fraud history</x:v>
      </x:c>
      <x:c r="E56" s="21" t="str">
        <x:v>Calibrates merchant-related stress and operating load.</x:v>
      </x:c>
      <x:c r="F56" s="22" t="str">
        <x:v>Applicable</x:v>
      </x:c>
      <x:c r="G56" s="22" t="str">
        <x:v>Required</x:v>
      </x:c>
      <x:c r="H56" s="22" t="str"/>
      <x:c r="I56" s="22" t="str"/>
      <x:c r="J56" s="22" t="str"/>
      <x:c r="K56" s="22" t="str">
        <x:v>Manual entry</x:v>
      </x:c>
      <x:c r="L56" s="22" t="str">
        <x:v>Unknown</x:v>
      </x:c>
      <x:c r="M56" s="22" t="str"/>
      <x:c r="N56" s="23" t="str">
        <x:f>IF(D56="","Open",IF(F56="Not Applicable","N/A",IF(OR(H56="",H56="To be confirmed"),IF(G56="Required","Input required","Open"),IF(AND(G56="Required",I56=""),"Evidence needed","Complete"))))</x:f>
        <x:v>Input required</x:v>
      </x:c>
      <x:c r="O56" s="21" t="str"/>
    </x:row>
    <x:row r="57" ht="15" hidden="0" customHeight="1">
      <x:c r="A57" s="20" t="str">
        <x:v>A-051</x:v>
      </x:c>
      <x:c r="B57" s="20" t="str">
        <x:v>Merchants &amp; counterparties</x:v>
      </x:c>
      <x:c r="C57" s="20" t="str">
        <x:v>Merchants</x:v>
      </x:c>
      <x:c r="D57" s="21" t="str">
        <x:v>Onboarding, monitoring, suspension and exit controls</x:v>
      </x:c>
      <x:c r="E57" s="21" t="str">
        <x:v>Defines the risk-management lifecycle.</x:v>
      </x:c>
      <x:c r="F57" s="22" t="str">
        <x:v>Applicable</x:v>
      </x:c>
      <x:c r="G57" s="22" t="str">
        <x:v>Required</x:v>
      </x:c>
      <x:c r="H57" s="22" t="str"/>
      <x:c r="I57" s="22" t="str"/>
      <x:c r="J57" s="22" t="str"/>
      <x:c r="K57" s="22" t="str">
        <x:v>Manual entry</x:v>
      </x:c>
      <x:c r="L57" s="22" t="str">
        <x:v>Unknown</x:v>
      </x:c>
      <x:c r="M57" s="22" t="str"/>
      <x:c r="N57" s="23" t="str">
        <x:f>IF(D57="","Open",IF(F57="Not Applicable","N/A",IF(OR(H57="",H57="To be confirmed"),IF(G57="Required","Input required","Open"),IF(AND(G57="Required",I57=""),"Evidence needed","Complete"))))</x:f>
        <x:v>Input required</x:v>
      </x:c>
      <x:c r="O57" s="21" t="str"/>
    </x:row>
    <x:row r="58" ht="24" hidden="0" customHeight="1">
      <x:c r="A58" s="20" t="str">
        <x:v>A-052</x:v>
      </x:c>
      <x:c r="B58" s="20" t="str">
        <x:v>Countries &amp; corridors</x:v>
      </x:c>
      <x:c r="C58" s="20" t="str">
        <x:v>Countries &amp; Corridors</x:v>
      </x:c>
      <x:c r="D58" s="21" t="str">
        <x:v>Countries of establishment, service delivery and customer activity</x:v>
      </x:c>
      <x:c r="E58" s="21" t="str">
        <x:v>Defines jurisdictional scope and external exposure.</x:v>
      </x:c>
      <x:c r="F58" s="22" t="str">
        <x:v>Applicable</x:v>
      </x:c>
      <x:c r="G58" s="22" t="str">
        <x:v>Required</x:v>
      </x:c>
      <x:c r="H58" s="22" t="str"/>
      <x:c r="I58" s="22" t="str"/>
      <x:c r="J58" s="22" t="str"/>
      <x:c r="K58" s="22" t="str">
        <x:v>Manual entry</x:v>
      </x:c>
      <x:c r="L58" s="22" t="str">
        <x:v>Unknown</x:v>
      </x:c>
      <x:c r="M58" s="22" t="str"/>
      <x:c r="N58" s="23" t="str">
        <x:f>IF(D58="","Open",IF(F58="Not Applicable","N/A",IF(OR(H58="",H58="To be confirmed"),IF(G58="Required","Input required","Open"),IF(AND(G58="Required",I58=""),"Evidence needed","Complete"))))</x:f>
        <x:v>Input required</x:v>
      </x:c>
      <x:c r="O58" s="21" t="str"/>
    </x:row>
    <x:row r="59" ht="24" hidden="0" customHeight="1">
      <x:c r="A59" s="20" t="str">
        <x:v>A-053</x:v>
      </x:c>
      <x:c r="B59" s="20" t="str">
        <x:v>Countries &amp; corridors</x:v>
      </x:c>
      <x:c r="C59" s="20" t="str">
        <x:v>Countries &amp; Corridors</x:v>
      </x:c>
      <x:c r="D59" s="21" t="str">
        <x:v>Material payment, trade or service corridors</x:v>
      </x:c>
      <x:c r="E59" s="21" t="str">
        <x:v>Identifies cross-border dependencies and concentrations.</x:v>
      </x:c>
      <x:c r="F59" s="22" t="str">
        <x:v>Applicable</x:v>
      </x:c>
      <x:c r="G59" s="22" t="str">
        <x:v>Required</x:v>
      </x:c>
      <x:c r="H59" s="22" t="str"/>
      <x:c r="I59" s="22" t="str"/>
      <x:c r="J59" s="22" t="str"/>
      <x:c r="K59" s="22" t="str">
        <x:v>Manual entry</x:v>
      </x:c>
      <x:c r="L59" s="22" t="str">
        <x:v>Unknown</x:v>
      </x:c>
      <x:c r="M59" s="22" t="str"/>
      <x:c r="N59" s="23" t="str">
        <x:f>IF(D59="","Open",IF(F59="Not Applicable","N/A",IF(OR(H59="",H59="To be confirmed"),IF(G59="Required","Input required","Open"),IF(AND(G59="Required",I59=""),"Evidence needed","Complete"))))</x:f>
        <x:v>Input required</x:v>
      </x:c>
      <x:c r="O59" s="21" t="str"/>
    </x:row>
    <x:row r="60" ht="24" hidden="0" customHeight="1">
      <x:c r="A60" s="20" t="str">
        <x:v>A-054</x:v>
      </x:c>
      <x:c r="B60" s="20" t="str">
        <x:v>Countries &amp; corridors</x:v>
      </x:c>
      <x:c r="C60" s="20" t="str">
        <x:v>Countries &amp; Corridors</x:v>
      </x:c>
      <x:c r="D60" s="21" t="str">
        <x:v>Currencies, settlement banks and correspondent relationships</x:v>
      </x:c>
      <x:c r="E60" s="21" t="str">
        <x:v>Maps FX, settlement and intermediary risk.</x:v>
      </x:c>
      <x:c r="F60" s="22" t="str">
        <x:v>Applicable</x:v>
      </x:c>
      <x:c r="G60" s="22" t="str">
        <x:v>Required</x:v>
      </x:c>
      <x:c r="H60" s="22" t="str"/>
      <x:c r="I60" s="22" t="str"/>
      <x:c r="J60" s="22" t="str"/>
      <x:c r="K60" s="22" t="str">
        <x:v>Manual entry</x:v>
      </x:c>
      <x:c r="L60" s="22" t="str">
        <x:v>Unknown</x:v>
      </x:c>
      <x:c r="M60" s="22" t="str"/>
      <x:c r="N60" s="23" t="str">
        <x:f>IF(D60="","Open",IF(F60="Not Applicable","N/A",IF(OR(H60="",H60="To be confirmed"),IF(G60="Required","Input required","Open"),IF(AND(G60="Required",I60=""),"Evidence needed","Complete"))))</x:f>
        <x:v>Input required</x:v>
      </x:c>
      <x:c r="O60" s="21" t="str"/>
    </x:row>
    <x:row r="61" ht="24" hidden="0" customHeight="1">
      <x:c r="A61" s="20" t="str">
        <x:v>A-055</x:v>
      </x:c>
      <x:c r="B61" s="20" t="str">
        <x:v>Countries &amp; corridors</x:v>
      </x:c>
      <x:c r="C61" s="20" t="str">
        <x:v>Countries &amp; Corridors</x:v>
      </x:c>
      <x:c r="D61" s="21" t="str">
        <x:v>Country restrictions, capital controls and localisation requirements</x:v>
      </x:c>
      <x:c r="E61" s="21" t="str">
        <x:v>Constrains transfer and recovery options.</x:v>
      </x:c>
      <x:c r="F61" s="22" t="str">
        <x:v>Applicable</x:v>
      </x:c>
      <x:c r="G61" s="22" t="str">
        <x:v>Required</x:v>
      </x:c>
      <x:c r="H61" s="22" t="str"/>
      <x:c r="I61" s="22" t="str"/>
      <x:c r="J61" s="22" t="str"/>
      <x:c r="K61" s="22" t="str">
        <x:v>Manual entry</x:v>
      </x:c>
      <x:c r="L61" s="22" t="str">
        <x:v>Unknown</x:v>
      </x:c>
      <x:c r="M61" s="22" t="str"/>
      <x:c r="N61" s="23" t="str">
        <x:f>IF(D61="","Open",IF(F61="Not Applicable","N/A",IF(OR(H61="",H61="To be confirmed"),IF(G61="Required","Input required","Open"),IF(AND(G61="Required",I61=""),"Evidence needed","Complete"))))</x:f>
        <x:v>Input required</x:v>
      </x:c>
      <x:c r="O61" s="21" t="str"/>
    </x:row>
    <x:row r="62" ht="15" hidden="0" customHeight="1">
      <x:c r="A62" s="20" t="str">
        <x:v>A-056</x:v>
      </x:c>
      <x:c r="B62" s="20" t="str">
        <x:v>Countries &amp; corridors</x:v>
      </x:c>
      <x:c r="C62" s="20" t="str">
        <x:v>Countries &amp; Corridors</x:v>
      </x:c>
      <x:c r="D62" s="21" t="str">
        <x:v>Geopolitical, sanctions and sovereign-risk watchlist</x:v>
      </x:c>
      <x:c r="E62" s="21" t="str">
        <x:v>Supports external-environment stress testing.</x:v>
      </x:c>
      <x:c r="F62" s="22" t="str">
        <x:v>Applicable</x:v>
      </x:c>
      <x:c r="G62" s="22" t="str">
        <x:v>Required</x:v>
      </x:c>
      <x:c r="H62" s="22" t="str"/>
      <x:c r="I62" s="22" t="str"/>
      <x:c r="J62" s="22" t="str"/>
      <x:c r="K62" s="22" t="str">
        <x:v>Manual entry</x:v>
      </x:c>
      <x:c r="L62" s="22" t="str">
        <x:v>Unknown</x:v>
      </x:c>
      <x:c r="M62" s="22" t="str"/>
      <x:c r="N62" s="23" t="str">
        <x:f>IF(D62="","Open",IF(F62="Not Applicable","N/A",IF(OR(H62="",H62="To be confirmed"),IF(G62="Required","Input required","Open"),IF(AND(G62="Required",I62=""),"Evidence needed","Complete"))))</x:f>
        <x:v>Input required</x:v>
      </x:c>
      <x:c r="O62" s="21" t="str"/>
    </x:row>
    <x:row r="63" ht="15" hidden="0" customHeight="1">
      <x:c r="A63" s="20" t="str">
        <x:v>A-057</x:v>
      </x:c>
      <x:c r="B63" s="20" t="str">
        <x:v>Data &amp; model governance</x:v>
      </x:c>
      <x:c r="C63" s="20" t="str">
        <x:v>Operations</x:v>
      </x:c>
      <x:c r="D63" s="21" t="str">
        <x:v>Approved source-system inventory and system owners</x:v>
      </x:c>
      <x:c r="E63" s="21" t="str">
        <x:v>Creates traceability for online collection.</x:v>
      </x:c>
      <x:c r="F63" s="22" t="str">
        <x:v>Applicable</x:v>
      </x:c>
      <x:c r="G63" s="22" t="str">
        <x:v>Required</x:v>
      </x:c>
      <x:c r="H63" s="22" t="str"/>
      <x:c r="I63" s="22" t="str"/>
      <x:c r="J63" s="22" t="str"/>
      <x:c r="K63" s="22" t="str">
        <x:v>Manual entry</x:v>
      </x:c>
      <x:c r="L63" s="22" t="str">
        <x:v>Unknown</x:v>
      </x:c>
      <x:c r="M63" s="22" t="str"/>
      <x:c r="N63" s="23" t="str">
        <x:f>IF(D63="","Open",IF(F63="Not Applicable","N/A",IF(OR(H63="",H63="To be confirmed"),IF(G63="Required","Input required","Open"),IF(AND(G63="Required",I63=""),"Evidence needed","Complete"))))</x:f>
        <x:v>Input required</x:v>
      </x:c>
      <x:c r="O63" s="21" t="str"/>
    </x:row>
    <x:row r="64" ht="24" hidden="0" customHeight="1">
      <x:c r="A64" s="20" t="str">
        <x:v>A-058</x:v>
      </x:c>
      <x:c r="B64" s="20" t="str">
        <x:v>Data &amp; model governance</x:v>
      </x:c>
      <x:c r="C64" s="20" t="str">
        <x:v>Operations</x:v>
      </x:c>
      <x:c r="D64" s="21" t="str">
        <x:v>Data dictionary, field definitions, units and timestamps</x:v>
      </x:c>
      <x:c r="E64" s="21" t="str">
        <x:v>Prevents inconsistent interpretation and model inputs.</x:v>
      </x:c>
      <x:c r="F64" s="22" t="str">
        <x:v>Applicable</x:v>
      </x:c>
      <x:c r="G64" s="22" t="str">
        <x:v>Required</x:v>
      </x:c>
      <x:c r="H64" s="22" t="str"/>
      <x:c r="I64" s="22" t="str"/>
      <x:c r="J64" s="22" t="str"/>
      <x:c r="K64" s="22" t="str">
        <x:v>Manual entry</x:v>
      </x:c>
      <x:c r="L64" s="22" t="str">
        <x:v>Unknown</x:v>
      </x:c>
      <x:c r="M64" s="22" t="str"/>
      <x:c r="N64" s="23" t="str">
        <x:f>IF(D64="","Open",IF(F64="Not Applicable","N/A",IF(OR(H64="",H64="To be confirmed"),IF(G64="Required","Input required","Open"),IF(AND(G64="Required",I64=""),"Evidence needed","Complete"))))</x:f>
        <x:v>Input required</x:v>
      </x:c>
      <x:c r="O64" s="21" t="str"/>
    </x:row>
    <x:row r="65" ht="15" hidden="0" customHeight="1">
      <x:c r="A65" s="20" t="str">
        <x:v>A-059</x:v>
      </x:c>
      <x:c r="B65" s="20" t="str">
        <x:v>Data &amp; model governance</x:v>
      </x:c>
      <x:c r="C65" s="20" t="str">
        <x:v>Operations</x:v>
      </x:c>
      <x:c r="D65" s="21" t="str">
        <x:v>Data-quality rules, reconciliations and exception handling</x:v>
      </x:c>
      <x:c r="E65" s="21" t="str">
        <x:v>Separates data uncertainty from risk severity.</x:v>
      </x:c>
      <x:c r="F65" s="22" t="str">
        <x:v>Applicable</x:v>
      </x:c>
      <x:c r="G65" s="22" t="str">
        <x:v>Required</x:v>
      </x:c>
      <x:c r="H65" s="22" t="str"/>
      <x:c r="I65" s="22" t="str"/>
      <x:c r="J65" s="22" t="str"/>
      <x:c r="K65" s="22" t="str">
        <x:v>Manual entry</x:v>
      </x:c>
      <x:c r="L65" s="22" t="str">
        <x:v>Unknown</x:v>
      </x:c>
      <x:c r="M65" s="22" t="str"/>
      <x:c r="N65" s="23" t="str">
        <x:f>IF(D65="","Open",IF(F65="Not Applicable","N/A",IF(OR(H65="",H65="To be confirmed"),IF(G65="Required","Input required","Open"),IF(AND(G65="Required",I65=""),"Evidence needed","Complete"))))</x:f>
        <x:v>Input required</x:v>
      </x:c>
      <x:c r="O65" s="21" t="str"/>
    </x:row>
    <x:row r="66" ht="24" hidden="0" customHeight="1">
      <x:c r="A66" s="20" t="str">
        <x:v>A-060</x:v>
      </x:c>
      <x:c r="B66" s="20" t="str">
        <x:v>Data &amp; model governance</x:v>
      </x:c>
      <x:c r="C66" s="20" t="str">
        <x:v>Regulation</x:v>
      </x:c>
      <x:c r="D66" s="21" t="str">
        <x:v>Personal-data, sensitive-data and confidential-data classification</x:v>
      </x:c>
      <x:c r="E66" s="21" t="str">
        <x:v>Determines privacy, security and access controls.</x:v>
      </x:c>
      <x:c r="F66" s="22" t="str">
        <x:v>Applicable</x:v>
      </x:c>
      <x:c r="G66" s="22" t="str">
        <x:v>Required</x:v>
      </x:c>
      <x:c r="H66" s="22" t="str"/>
      <x:c r="I66" s="22" t="str"/>
      <x:c r="J66" s="22" t="str"/>
      <x:c r="K66" s="22" t="str">
        <x:v>Manual entry</x:v>
      </x:c>
      <x:c r="L66" s="22" t="str">
        <x:v>Unknown</x:v>
      </x:c>
      <x:c r="M66" s="22" t="str"/>
      <x:c r="N66" s="23" t="str">
        <x:f>IF(D66="","Open",IF(F66="Not Applicable","N/A",IF(OR(H66="",H66="To be confirmed"),IF(G66="Required","Input required","Open"),IF(AND(G66="Required",I66=""),"Evidence needed","Complete"))))</x:f>
        <x:v>Input required</x:v>
      </x:c>
      <x:c r="O66" s="21" t="str"/>
    </x:row>
    <x:row r="67" ht="15" hidden="0" customHeight="1">
      <x:c r="A67" s="20" t="str">
        <x:v>A-061</x:v>
      </x:c>
      <x:c r="B67" s="20" t="str">
        <x:v>Data &amp; model governance</x:v>
      </x:c>
      <x:c r="C67" s="20" t="str">
        <x:v>Regulation</x:v>
      </x:c>
      <x:c r="D67" s="21" t="str">
        <x:v>Retention, deletion and legal-hold requirements</x:v>
      </x:c>
      <x:c r="E67" s="21" t="str">
        <x:v>Controls lifecycle and evidentiary obligations.</x:v>
      </x:c>
      <x:c r="F67" s="22" t="str">
        <x:v>Applicable</x:v>
      </x:c>
      <x:c r="G67" s="22" t="str">
        <x:v>Required</x:v>
      </x:c>
      <x:c r="H67" s="22" t="str"/>
      <x:c r="I67" s="22" t="str"/>
      <x:c r="J67" s="22" t="str"/>
      <x:c r="K67" s="22" t="str">
        <x:v>Manual entry</x:v>
      </x:c>
      <x:c r="L67" s="22" t="str">
        <x:v>Unknown</x:v>
      </x:c>
      <x:c r="M67" s="22" t="str"/>
      <x:c r="N67" s="23" t="str">
        <x:f>IF(D67="","Open",IF(F67="Not Applicable","N/A",IF(OR(H67="",H67="To be confirmed"),IF(G67="Required","Input required","Open"),IF(AND(G67="Required",I67=""),"Evidence needed","Complete"))))</x:f>
        <x:v>Input required</x:v>
      </x:c>
      <x:c r="O67" s="21" t="str"/>
    </x:row>
    <x:row r="68" ht="24" hidden="0" customHeight="1">
      <x:c r="A68" s="20" t="str">
        <x:v>A-062</x:v>
      </x:c>
      <x:c r="B68" s="20" t="str">
        <x:v>Data &amp; model governance</x:v>
      </x:c>
      <x:c r="C68" s="20" t="str">
        <x:v>Regulation</x:v>
      </x:c>
      <x:c r="D68" s="21" t="str">
        <x:v>Cross-border data transfer and data-residency restrictions</x:v>
      </x:c>
      <x:c r="E68" s="21" t="str">
        <x:v>Determines permitted hosting and access locations.</x:v>
      </x:c>
      <x:c r="F68" s="22" t="str">
        <x:v>Applicable</x:v>
      </x:c>
      <x:c r="G68" s="22" t="str">
        <x:v>Required</x:v>
      </x:c>
      <x:c r="H68" s="22" t="str"/>
      <x:c r="I68" s="22" t="str"/>
      <x:c r="J68" s="22" t="str"/>
      <x:c r="K68" s="22" t="str">
        <x:v>Manual entry</x:v>
      </x:c>
      <x:c r="L68" s="22" t="str">
        <x:v>Unknown</x:v>
      </x:c>
      <x:c r="M68" s="22" t="str"/>
      <x:c r="N68" s="23" t="str">
        <x:f>IF(D68="","Open",IF(F68="Not Applicable","N/A",IF(OR(H68="",H68="To be confirmed"),IF(G68="Required","Input required","Open"),IF(AND(G68="Required",I68=""),"Evidence needed","Complete"))))</x:f>
        <x:v>Input required</x:v>
      </x:c>
      <x:c r="O68" s="21" t="str"/>
    </x:row>
    <x:row r="69" ht="15" hidden="0" customHeight="1">
      <x:c r="A69" s="20" t="str">
        <x:v>A-063</x:v>
      </x:c>
      <x:c r="B69" s="20" t="str">
        <x:v>Data &amp; model governance</x:v>
      </x:c>
      <x:c r="C69" s="20" t="str">
        <x:v>Operations</x:v>
      </x:c>
      <x:c r="D69" s="21" t="str">
        <x:v>Identity, access and privileged-access controls</x:v>
      </x:c>
      <x:c r="E69" s="21" t="str">
        <x:v>Protects live and simulation workspaces.</x:v>
      </x:c>
      <x:c r="F69" s="22" t="str">
        <x:v>Applicable</x:v>
      </x:c>
      <x:c r="G69" s="22" t="str">
        <x:v>Required</x:v>
      </x:c>
      <x:c r="H69" s="22" t="str"/>
      <x:c r="I69" s="22" t="str"/>
      <x:c r="J69" s="22" t="str"/>
      <x:c r="K69" s="22" t="str">
        <x:v>Manual entry</x:v>
      </x:c>
      <x:c r="L69" s="22" t="str">
        <x:v>Unknown</x:v>
      </x:c>
      <x:c r="M69" s="22" t="str"/>
      <x:c r="N69" s="23" t="str">
        <x:f>IF(D69="","Open",IF(F69="Not Applicable","N/A",IF(OR(H69="",H69="To be confirmed"),IF(G69="Required","Input required","Open"),IF(AND(G69="Required",I69=""),"Evidence needed","Complete"))))</x:f>
        <x:v>Input required</x:v>
      </x:c>
      <x:c r="O69" s="21" t="str"/>
    </x:row>
    <x:row r="70" ht="24" hidden="0" customHeight="1">
      <x:c r="A70" s="20" t="str">
        <x:v>A-064</x:v>
      </x:c>
      <x:c r="B70" s="20" t="str">
        <x:v>Data &amp; model governance</x:v>
      </x:c>
      <x:c r="C70" s="20" t="str">
        <x:v>Operations</x:v>
      </x:c>
      <x:c r="D70" s="21" t="str">
        <x:v>Historical data available for calibration and backtesting</x:v>
      </x:c>
      <x:c r="E70" s="21" t="str">
        <x:v>Enables enterprise-specific weights and distributions.</x:v>
      </x:c>
      <x:c r="F70" s="22" t="str">
        <x:v>Applicable</x:v>
      </x:c>
      <x:c r="G70" s="22" t="str">
        <x:v>Required</x:v>
      </x:c>
      <x:c r="H70" s="22" t="str"/>
      <x:c r="I70" s="22" t="str"/>
      <x:c r="J70" s="22" t="str"/>
      <x:c r="K70" s="22" t="str">
        <x:v>Manual entry</x:v>
      </x:c>
      <x:c r="L70" s="22" t="str">
        <x:v>Unknown</x:v>
      </x:c>
      <x:c r="M70" s="22" t="str"/>
      <x:c r="N70" s="23" t="str">
        <x:f>IF(D70="","Open",IF(F70="Not Applicable","N/A",IF(OR(H70="",H70="To be confirmed"),IF(G70="Required","Input required","Open"),IF(AND(G70="Required",I70=""),"Evidence needed","Complete"))))</x:f>
        <x:v>Input required</x:v>
      </x:c>
      <x:c r="O70" s="21" t="str"/>
    </x:row>
    <x:row r="71" ht="24" hidden="0" customHeight="1">
      <x:c r="A71" s="20" t="str">
        <x:v>A-065</x:v>
      </x:c>
      <x:c r="B71" s="20" t="str">
        <x:v>Data &amp; model governance</x:v>
      </x:c>
      <x:c r="C71" s="20" t="str">
        <x:v>Operations</x:v>
      </x:c>
      <x:c r="D71" s="21" t="str">
        <x:v>Model approval, validation and change-governance standards</x:v>
      </x:c>
      <x:c r="E71" s="21" t="str">
        <x:v>Controls activation of enterprise-specific calibration.</x:v>
      </x:c>
      <x:c r="F71" s="22" t="str">
        <x:v>Applicable</x:v>
      </x:c>
      <x:c r="G71" s="22" t="str">
        <x:v>Required</x:v>
      </x:c>
      <x:c r="H71" s="22" t="str"/>
      <x:c r="I71" s="22" t="str"/>
      <x:c r="J71" s="22" t="str"/>
      <x:c r="K71" s="22" t="str">
        <x:v>Manual entry</x:v>
      </x:c>
      <x:c r="L71" s="22" t="str">
        <x:v>Unknown</x:v>
      </x:c>
      <x:c r="M71" s="22" t="str"/>
      <x:c r="N71" s="23" t="str">
        <x:f>IF(D71="","Open",IF(F71="Not Applicable","N/A",IF(OR(H71="",H71="To be confirmed"),IF(G71="Required","Input required","Open"),IF(AND(G71="Required",I71=""),"Evidence needed","Complete"))))</x:f>
        <x:v>Input required</x:v>
      </x:c>
      <x:c r="O71" s="21" t="str"/>
    </x:row>
    <x:row r="72" ht="24" hidden="0" customHeight="1">
      <x:c r="A72" s="20" t="str">
        <x:v>A-066</x:v>
      </x:c>
      <x:c r="B72" s="20" t="str">
        <x:v>Data &amp; model governance</x:v>
      </x:c>
      <x:c r="C72" s="20" t="str">
        <x:v>Operations</x:v>
      </x:c>
      <x:c r="D72" s="21" t="str">
        <x:v>Required reporting audiences and decision cadence</x:v>
      </x:c>
      <x:c r="E72" s="21" t="str">
        <x:v>Shapes operational, executive and board outputs.</x:v>
      </x:c>
      <x:c r="F72" s="22" t="str">
        <x:v>Applicable</x:v>
      </x:c>
      <x:c r="G72" s="22" t="str">
        <x:v>Required</x:v>
      </x:c>
      <x:c r="H72" s="22" t="str"/>
      <x:c r="I72" s="22" t="str"/>
      <x:c r="J72" s="22" t="str"/>
      <x:c r="K72" s="22" t="str">
        <x:v>Manual entry</x:v>
      </x:c>
      <x:c r="L72" s="22" t="str">
        <x:v>Unknown</x:v>
      </x:c>
      <x:c r="M72" s="22" t="str"/>
      <x:c r="N72" s="23" t="str">
        <x:f>IF(D72="","Open",IF(F72="Not Applicable","N/A",IF(OR(H72="",H72="To be confirmed"),IF(G72="Required","Input required","Open"),IF(AND(G72="Required",I72=""),"Evidence needed","Complete"))))</x:f>
        <x:v>Input required</x:v>
      </x:c>
      <x:c r="O72" s="21" t="str"/>
    </x:row>
  </x:sheetData>
  <x:conditionalFormatting sqref="N7:N72">
    <x:cfRule type="containsText" dxfId="0" priority="1" operator="containsText" text="Complete"/>
    <x:cfRule type="containsText" dxfId="1" priority="2" operator="containsText" text="Input required"/>
    <x:cfRule type="containsText" dxfId="2" priority="3" operator="containsText" text="Evidence needed"/>
  </x:conditionalFormatting>
  <x:dataValidations count="4">
    <x:dataValidation type="list" sqref="F7:F72">
      <x:formula1>"Applicable,Not Applicable,To Confirm"</x:formula1>
    </x:dataValidation>
    <x:dataValidation type="list" sqref="G7:G72">
      <x:formula1>"Required,Optional,To Confirm"</x:formula1>
    </x:dataValidation>
    <x:dataValidation type="list" sqref="K7:K72">
      <x:formula1>"Manual entry,API read-only,Secure file transfer,Database read replica,Portal export,Evidence upload,Not collected"</x:formula1>
    </x:dataValidation>
    <x:dataValidation type="list" sqref="L7:L72">
      <x:formula1>"No,Yes,Sensitive,Unknown"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23e6c8c3074fab"/>
  </x:tableParts>
</x:worksheet>
</file>

<file path=xl/worksheets/sheet3.xml><?xml version="1.0" encoding="utf-8"?>
<x:worksheet xmlns:x="http://schemas.openxmlformats.org/spreadsheetml/2006/main">
  <x:sheetPr>
    <x:tabColor rgb="FFF39A69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18" hidden="0" customWidth="1"/>
    <x:col min="4" max="4" width="43" hidden="0" customWidth="1"/>
    <x:col min="5" max="5" width="36" hidden="0" customWidth="1"/>
    <x:col min="6" max="6" width="16" hidden="0" customWidth="1"/>
    <x:col min="7" max="7" width="13" hidden="0" customWidth="1"/>
    <x:col min="8" max="8" width="32" hidden="0" customWidth="1"/>
    <x:col min="9" max="9" width="28" hidden="0" customWidth="1"/>
    <x:col min="10" max="10" width="22" hidden="0" customWidth="1"/>
    <x:col min="11" max="11" width="23" hidden="0" customWidth="1"/>
    <x:col min="12" max="12" width="15" hidden="0" customWidth="1"/>
    <x:col min="13" max="13" width="22" hidden="0" customWidth="1"/>
    <x:col min="14" max="14" width="17" hidden="0" customWidth="1"/>
    <x:col min="15" max="15" width="30" hidden="0" customWidth="1"/>
  </x:cols>
  <x:sheetData>
    <x:row r="2" ht="22" customHeight="1">
      <x:c r="A2" s="3" t="str">
        <x:v>Section B. Industry-specific factors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2" customHeight="1">
      <x:c r="A3" s="2" t="str">
        <x:v>Select the applicable sector rows, mark the remainder Not Applicable and add sector evidence before model configuration.</x:v>
      </x:c>
    </x:row>
    <x:row r="6" ht="34" customHeight="1">
      <x:c r="A6" s="11" t="str">
        <x:v>Factor ID</x:v>
      </x:c>
      <x:c r="B6" s="11" t="str">
        <x:v>Classification</x:v>
      </x:c>
      <x:c r="C6" s="11" t="str">
        <x:v>Primary control</x:v>
      </x:c>
      <x:c r="D6" s="11" t="str">
        <x:v>Onboarding factor or question</x:v>
      </x:c>
      <x:c r="E6" s="11" t="str">
        <x:v>Why it matters</x:v>
      </x:c>
      <x:c r="F6" s="11" t="str">
        <x:v>Applicability</x:v>
      </x:c>
      <x:c r="G6" s="11" t="str">
        <x:v>Required</x:v>
      </x:c>
      <x:c r="H6" s="11" t="str">
        <x:v>Client response</x:v>
      </x:c>
      <x:c r="I6" s="11" t="str">
        <x:v>Evidence or source</x:v>
      </x:c>
      <x:c r="J6" s="11" t="str">
        <x:v>Data owner</x:v>
      </x:c>
      <x:c r="K6" s="11" t="str">
        <x:v>Online collection method</x:v>
      </x:c>
      <x:c r="L6" s="11" t="str">
        <x:v>Personal data</x:v>
      </x:c>
      <x:c r="M6" s="11" t="str">
        <x:v>Jurisdiction(s)</x:v>
      </x:c>
      <x:c r="N6" s="11" t="str">
        <x:v>Status</x:v>
      </x:c>
      <x:c r="O6" s="11" t="str">
        <x:v>Consultant notes</x:v>
      </x:c>
    </x:row>
    <x:row r="7" ht="24" hidden="0" customHeight="1">
      <x:c r="A7" s="16" t="str">
        <x:v>B-PAY-01</x:v>
      </x:c>
      <x:c r="B7" s="16" t="str">
        <x:v>Payments &amp; FinTech</x:v>
      </x:c>
      <x:c r="C7" s="16" t="str">
        <x:v>Liquidity</x:v>
      </x:c>
      <x:c r="D7" s="17" t="str">
        <x:v>Settlement prefunding, safeguarding and reserve requirements</x:v>
      </x:c>
      <x:c r="E7" s="17" t="str">
        <x:v>Determines available liquidity and ring-fenced funds.</x:v>
      </x:c>
      <x:c r="F7" s="18" t="str">
        <x:v>To Confirm</x:v>
      </x:c>
      <x:c r="G7" s="18" t="str">
        <x:v>Required</x:v>
      </x:c>
      <x:c r="H7" s="18" t="str"/>
      <x:c r="I7" s="18" t="str"/>
      <x:c r="J7" s="18" t="str"/>
      <x:c r="K7" s="18" t="str">
        <x:v>Manual entry</x:v>
      </x:c>
      <x:c r="L7" s="18" t="str">
        <x:v>Unknown</x:v>
      </x:c>
      <x:c r="M7" s="18" t="str"/>
      <x:c r="N7" s="19" t="str">
        <x:f>IF(D7="","Open",IF(F7="Not Applicable","N/A",IF(OR(H7="",H7="To be confirmed"),IF(G7="Required","Input required","Open"),IF(AND(G7="Required",I7=""),"Evidence needed","Complete"))))</x:f>
        <x:v>Input required</x:v>
      </x:c>
      <x:c r="O7" s="17" t="str"/>
    </x:row>
    <x:row r="8" ht="24" hidden="0" customHeight="1">
      <x:c r="A8" s="20" t="str">
        <x:v>B-PAY-02</x:v>
      </x:c>
      <x:c r="B8" s="20" t="str">
        <x:v>Payments &amp; FinTech</x:v>
      </x:c>
      <x:c r="C8" s="20" t="str">
        <x:v>Operations</x:v>
      </x:c>
      <x:c r="D8" s="21" t="str">
        <x:v>Scheme, acquirer, issuer, processor and gateway dependencies</x:v>
      </x:c>
      <x:c r="E8" s="21" t="str">
        <x:v>Maps the payment-service chain.</x:v>
      </x:c>
      <x:c r="F8" s="22" t="str">
        <x:v>To Confirm</x:v>
      </x:c>
      <x:c r="G8" s="22" t="str">
        <x:v>Required</x:v>
      </x:c>
      <x:c r="H8" s="22" t="str"/>
      <x:c r="I8" s="22" t="str"/>
      <x:c r="J8" s="22" t="str"/>
      <x:c r="K8" s="22" t="str">
        <x:v>Manual entry</x:v>
      </x:c>
      <x:c r="L8" s="22" t="str">
        <x:v>Unknown</x:v>
      </x:c>
      <x:c r="M8" s="22" t="str"/>
      <x:c r="N8" s="23" t="str">
        <x:f>IF(D8="","Open",IF(F8="Not Applicable","N/A",IF(OR(H8="",H8="To be confirmed"),IF(G8="Required","Input required","Open"),IF(AND(G8="Required",I8=""),"Evidence needed","Complete"))))</x:f>
        <x:v>Input required</x:v>
      </x:c>
      <x:c r="O8" s="21" t="str"/>
    </x:row>
    <x:row r="9" ht="15" hidden="0" customHeight="1">
      <x:c r="A9" s="20" t="str">
        <x:v>B-PAY-03</x:v>
      </x:c>
      <x:c r="B9" s="20" t="str">
        <x:v>Payments &amp; FinTech</x:v>
      </x:c>
      <x:c r="C9" s="20" t="str">
        <x:v>Merchants</x:v>
      </x:c>
      <x:c r="D9" s="21" t="str">
        <x:v>Merchant category, fraud and chargeback concentration</x:v>
      </x:c>
      <x:c r="E9" s="21" t="str">
        <x:v>Calibrates merchant portfolio stress.</x:v>
      </x:c>
      <x:c r="F9" s="22" t="str">
        <x:v>To Confirm</x:v>
      </x:c>
      <x:c r="G9" s="22" t="str">
        <x:v>Required</x:v>
      </x:c>
      <x:c r="H9" s="22" t="str"/>
      <x:c r="I9" s="22" t="str"/>
      <x:c r="J9" s="22" t="str"/>
      <x:c r="K9" s="22" t="str">
        <x:v>Manual entry</x:v>
      </x:c>
      <x:c r="L9" s="22" t="str">
        <x:v>Unknown</x:v>
      </x:c>
      <x:c r="M9" s="22" t="str"/>
      <x:c r="N9" s="23" t="str">
        <x:f>IF(D9="","Open",IF(F9="Not Applicable","N/A",IF(OR(H9="",H9="To be confirmed"),IF(G9="Required","Input required","Open"),IF(AND(G9="Required",I9=""),"Evidence needed","Complete"))))</x:f>
        <x:v>Input required</x:v>
      </x:c>
      <x:c r="O9" s="21" t="str"/>
    </x:row>
    <x:row r="10" ht="24" hidden="0" customHeight="1">
      <x:c r="A10" s="20" t="str">
        <x:v>B-PAY-04</x:v>
      </x:c>
      <x:c r="B10" s="20" t="str">
        <x:v>Payments &amp; FinTech</x:v>
      </x:c>
      <x:c r="C10" s="20" t="str">
        <x:v>Countries &amp; Corridors</x:v>
      </x:c>
      <x:c r="D10" s="21" t="str">
        <x:v>Cross-border settlement corridors, FX spreads and cut-offs</x:v>
      </x:c>
      <x:c r="E10" s="21" t="str">
        <x:v>Models corridor-specific disruption.</x:v>
      </x:c>
      <x:c r="F10" s="22" t="str">
        <x:v>To Confirm</x:v>
      </x:c>
      <x:c r="G10" s="22" t="str">
        <x:v>Required</x:v>
      </x:c>
      <x:c r="H10" s="22" t="str"/>
      <x:c r="I10" s="22" t="str"/>
      <x:c r="J10" s="22" t="str"/>
      <x:c r="K10" s="22" t="str">
        <x:v>Manual entry</x:v>
      </x:c>
      <x:c r="L10" s="22" t="str">
        <x:v>Unknown</x:v>
      </x:c>
      <x:c r="M10" s="22" t="str"/>
      <x:c r="N10" s="23" t="str">
        <x:f>IF(D10="","Open",IF(F10="Not Applicable","N/A",IF(OR(H10="",H10="To be confirmed"),IF(G10="Required","Input required","Open"),IF(AND(G10="Required",I10=""),"Evidence needed","Complete"))))</x:f>
        <x:v>Input required</x:v>
      </x:c>
      <x:c r="O10" s="21" t="str"/>
    </x:row>
    <x:row r="11" ht="24" hidden="0" customHeight="1">
      <x:c r="A11" s="20" t="str">
        <x:v>B-PAY-05</x:v>
      </x:c>
      <x:c r="B11" s="20" t="str">
        <x:v>Payments &amp; FinTech</x:v>
      </x:c>
      <x:c r="C11" s="20" t="str">
        <x:v>Regulation</x:v>
      </x:c>
      <x:c r="D11" s="21" t="str">
        <x:v>Payment institution, money transmission and safeguarding licences</x:v>
      </x:c>
      <x:c r="E11" s="21" t="str">
        <x:v>Defines licensing and conduct obligations.</x:v>
      </x:c>
      <x:c r="F11" s="22" t="str">
        <x:v>To Confirm</x:v>
      </x:c>
      <x:c r="G11" s="22" t="str">
        <x:v>Required</x:v>
      </x:c>
      <x:c r="H11" s="22" t="str"/>
      <x:c r="I11" s="22" t="str"/>
      <x:c r="J11" s="22" t="str"/>
      <x:c r="K11" s="22" t="str">
        <x:v>Manual entry</x:v>
      </x:c>
      <x:c r="L11" s="22" t="str">
        <x:v>Unknown</x:v>
      </x:c>
      <x:c r="M11" s="22" t="str"/>
      <x:c r="N11" s="23" t="str">
        <x:f>IF(D11="","Open",IF(F11="Not Applicable","N/A",IF(OR(H11="",H11="To be confirmed"),IF(G11="Required","Input required","Open"),IF(AND(G11="Required",I11=""),"Evidence needed","Complete"))))</x:f>
        <x:v>Input required</x:v>
      </x:c>
      <x:c r="O11" s="21" t="str"/>
    </x:row>
    <x:row r="12" ht="15" hidden="0" customHeight="1">
      <x:c r="A12" s="20" t="str">
        <x:v>B-PAY-06</x:v>
      </x:c>
      <x:c r="B12" s="20" t="str">
        <x:v>Payments &amp; FinTech</x:v>
      </x:c>
      <x:c r="C12" s="20" t="str">
        <x:v>Operations</x:v>
      </x:c>
      <x:c r="D12" s="21" t="str">
        <x:v>Authorisation, clearing and settlement success rates</x:v>
      </x:c>
      <x:c r="E12" s="21" t="str">
        <x:v>Provides real-time operational health measures.</x:v>
      </x:c>
      <x:c r="F12" s="22" t="str">
        <x:v>To Confirm</x:v>
      </x:c>
      <x:c r="G12" s="22" t="str">
        <x:v>Required</x:v>
      </x:c>
      <x:c r="H12" s="22" t="str"/>
      <x:c r="I12" s="22" t="str"/>
      <x:c r="J12" s="22" t="str"/>
      <x:c r="K12" s="22" t="str">
        <x:v>Manual entry</x:v>
      </x:c>
      <x:c r="L12" s="22" t="str">
        <x:v>Unknown</x:v>
      </x:c>
      <x:c r="M12" s="22" t="str"/>
      <x:c r="N12" s="23" t="str">
        <x:f>IF(D12="","Open",IF(F12="Not Applicable","N/A",IF(OR(H12="",H12="To be confirmed"),IF(G12="Required","Input required","Open"),IF(AND(G12="Required",I12=""),"Evidence needed","Complete"))))</x:f>
        <x:v>Input required</x:v>
      </x:c>
      <x:c r="O12" s="21" t="str"/>
    </x:row>
    <x:row r="13" ht="24" hidden="0" customHeight="1">
      <x:c r="A13" s="20" t="str">
        <x:v>B-PAY-07</x:v>
      </x:c>
      <x:c r="B13" s="20" t="str">
        <x:v>Payments &amp; FinTech</x:v>
      </x:c>
      <x:c r="C13" s="20" t="str">
        <x:v>Operations</x:v>
      </x:c>
      <x:c r="D13" s="21" t="str">
        <x:v>Tokenisation, wallet, API and authentication dependencies</x:v>
      </x:c>
      <x:c r="E13" s="21" t="str">
        <x:v>Captures digital payment failure modes.</x:v>
      </x:c>
      <x:c r="F13" s="22" t="str">
        <x:v>To Confirm</x:v>
      </x:c>
      <x:c r="G13" s="22" t="str">
        <x:v>Required</x:v>
      </x:c>
      <x:c r="H13" s="22" t="str"/>
      <x:c r="I13" s="22" t="str"/>
      <x:c r="J13" s="22" t="str"/>
      <x:c r="K13" s="22" t="str">
        <x:v>Manual entry</x:v>
      </x:c>
      <x:c r="L13" s="22" t="str">
        <x:v>Unknown</x:v>
      </x:c>
      <x:c r="M13" s="22" t="str"/>
      <x:c r="N13" s="23" t="str">
        <x:f>IF(D13="","Open",IF(F13="Not Applicable","N/A",IF(OR(H13="",H13="To be confirmed"),IF(G13="Required","Input required","Open"),IF(AND(G13="Required",I13=""),"Evidence needed","Complete"))))</x:f>
        <x:v>Input required</x:v>
      </x:c>
      <x:c r="O13" s="21" t="str"/>
    </x:row>
    <x:row r="14" ht="24" hidden="0" customHeight="1">
      <x:c r="A14" s="20" t="str">
        <x:v>B-PAY-08</x:v>
      </x:c>
      <x:c r="B14" s="20" t="str">
        <x:v>Payments &amp; FinTech</x:v>
      </x:c>
      <x:c r="C14" s="20" t="str">
        <x:v>Merchants</x:v>
      </x:c>
      <x:c r="D14" s="21" t="str">
        <x:v>Reserve, holdback, rolling reserve and delayed-settlement terms</x:v>
      </x:c>
      <x:c r="E14" s="21" t="str">
        <x:v>Models merchant loss absorption and liquidity effects.</x:v>
      </x:c>
      <x:c r="F14" s="22" t="str">
        <x:v>To Confirm</x:v>
      </x:c>
      <x:c r="G14" s="22" t="str">
        <x:v>Required</x:v>
      </x:c>
      <x:c r="H14" s="22" t="str"/>
      <x:c r="I14" s="22" t="str"/>
      <x:c r="J14" s="22" t="str"/>
      <x:c r="K14" s="22" t="str">
        <x:v>Manual entry</x:v>
      </x:c>
      <x:c r="L14" s="22" t="str">
        <x:v>Unknown</x:v>
      </x:c>
      <x:c r="M14" s="22" t="str"/>
      <x:c r="N14" s="23" t="str">
        <x:f>IF(D14="","Open",IF(F14="Not Applicable","N/A",IF(OR(H14="",H14="To be confirmed"),IF(G14="Required","Input required","Open"),IF(AND(G14="Required",I14=""),"Evidence needed","Complete"))))</x:f>
        <x:v>Input required</x:v>
      </x:c>
      <x:c r="O14" s="21" t="str"/>
    </x:row>
    <x:row r="15" ht="24" hidden="0" customHeight="1">
      <x:c r="A15" s="20" t="str">
        <x:v>B-BNK-01</x:v>
      </x:c>
      <x:c r="B15" s="20" t="str">
        <x:v>Banking &amp; Lending</x:v>
      </x:c>
      <x:c r="C15" s="20" t="str">
        <x:v>Capital</x:v>
      </x:c>
      <x:c r="D15" s="21" t="str">
        <x:v>Regulatory capital ratios and buffers</x:v>
      </x:c>
      <x:c r="E15" s="21" t="str">
        <x:v>Defines prudential thresholds and management headroom.</x:v>
      </x:c>
      <x:c r="F15" s="22" t="str">
        <x:v>To Confirm</x:v>
      </x:c>
      <x:c r="G15" s="22" t="str">
        <x:v>Required</x:v>
      </x:c>
      <x:c r="H15" s="22" t="str"/>
      <x:c r="I15" s="22" t="str"/>
      <x:c r="J15" s="22" t="str"/>
      <x:c r="K15" s="22" t="str">
        <x:v>Manual entry</x:v>
      </x:c>
      <x:c r="L15" s="22" t="str">
        <x:v>Unknown</x:v>
      </x:c>
      <x:c r="M15" s="22" t="str"/>
      <x:c r="N15" s="23" t="str">
        <x:f>IF(D15="","Open",IF(F15="Not Applicable","N/A",IF(OR(H15="",H15="To be confirmed"),IF(G15="Required","Input required","Open"),IF(AND(G15="Required",I15=""),"Evidence needed","Complete"))))</x:f>
        <x:v>Input required</x:v>
      </x:c>
      <x:c r="O15" s="21" t="str"/>
    </x:row>
    <x:row r="16" ht="24" hidden="0" customHeight="1">
      <x:c r="A16" s="20" t="str">
        <x:v>B-BNK-02</x:v>
      </x:c>
      <x:c r="B16" s="20" t="str">
        <x:v>Banking &amp; Lending</x:v>
      </x:c>
      <x:c r="C16" s="20" t="str">
        <x:v>Liquidity</x:v>
      </x:c>
      <x:c r="D16" s="21" t="str">
        <x:v>Liquidity coverage, stable funding and depositor concentration</x:v>
      </x:c>
      <x:c r="E16" s="21" t="str">
        <x:v>Models funding run and liquidity survival.</x:v>
      </x:c>
      <x:c r="F16" s="22" t="str">
        <x:v>To Confirm</x:v>
      </x:c>
      <x:c r="G16" s="22" t="str">
        <x:v>Required</x:v>
      </x:c>
      <x:c r="H16" s="22" t="str"/>
      <x:c r="I16" s="22" t="str"/>
      <x:c r="J16" s="22" t="str"/>
      <x:c r="K16" s="22" t="str">
        <x:v>Manual entry</x:v>
      </x:c>
      <x:c r="L16" s="22" t="str">
        <x:v>Unknown</x:v>
      </x:c>
      <x:c r="M16" s="22" t="str"/>
      <x:c r="N16" s="23" t="str">
        <x:f>IF(D16="","Open",IF(F16="Not Applicable","N/A",IF(OR(H16="",H16="To be confirmed"),IF(G16="Required","Input required","Open"),IF(AND(G16="Required",I16=""),"Evidence needed","Complete"))))</x:f>
        <x:v>Input required</x:v>
      </x:c>
      <x:c r="O16" s="21" t="str"/>
    </x:row>
    <x:row r="17" ht="24" hidden="0" customHeight="1">
      <x:c r="A17" s="20" t="str">
        <x:v>B-BNK-03</x:v>
      </x:c>
      <x:c r="B17" s="20" t="str">
        <x:v>Banking &amp; Lending</x:v>
      </x:c>
      <x:c r="C17" s="20" t="str">
        <x:v>Capital</x:v>
      </x:c>
      <x:c r="D17" s="21" t="str">
        <x:v>Credit portfolio quality, staging, provisions and expected loss</x:v>
      </x:c>
      <x:c r="E17" s="21" t="str">
        <x:v>Calibrates credit deterioration.</x:v>
      </x:c>
      <x:c r="F17" s="22" t="str">
        <x:v>To Confirm</x:v>
      </x:c>
      <x:c r="G17" s="22" t="str">
        <x:v>Required</x:v>
      </x:c>
      <x:c r="H17" s="22" t="str"/>
      <x:c r="I17" s="22" t="str"/>
      <x:c r="J17" s="22" t="str"/>
      <x:c r="K17" s="22" t="str">
        <x:v>Manual entry</x:v>
      </x:c>
      <x:c r="L17" s="22" t="str">
        <x:v>Unknown</x:v>
      </x:c>
      <x:c r="M17" s="22" t="str"/>
      <x:c r="N17" s="23" t="str">
        <x:f>IF(D17="","Open",IF(F17="Not Applicable","N/A",IF(OR(H17="",H17="To be confirmed"),IF(G17="Required","Input required","Open"),IF(AND(G17="Required",I17=""),"Evidence needed","Complete"))))</x:f>
        <x:v>Input required</x:v>
      </x:c>
      <x:c r="O17" s="21" t="str"/>
    </x:row>
    <x:row r="18" ht="15" hidden="0" customHeight="1">
      <x:c r="A18" s="20" t="str">
        <x:v>B-BNK-04</x:v>
      </x:c>
      <x:c r="B18" s="20" t="str">
        <x:v>Banking &amp; Lending</x:v>
      </x:c>
      <x:c r="C18" s="20" t="str">
        <x:v>Liquidity</x:v>
      </x:c>
      <x:c r="D18" s="21" t="str">
        <x:v>Collateral eligibility, haircuts and central-bank access</x:v>
      </x:c>
      <x:c r="E18" s="21" t="str">
        <x:v>Defines contingent liquidity capacity.</x:v>
      </x:c>
      <x:c r="F18" s="22" t="str">
        <x:v>To Confirm</x:v>
      </x:c>
      <x:c r="G18" s="22" t="str">
        <x:v>Required</x:v>
      </x:c>
      <x:c r="H18" s="22" t="str"/>
      <x:c r="I18" s="22" t="str"/>
      <x:c r="J18" s="22" t="str"/>
      <x:c r="K18" s="22" t="str">
        <x:v>Manual entry</x:v>
      </x:c>
      <x:c r="L18" s="22" t="str">
        <x:v>Unknown</x:v>
      </x:c>
      <x:c r="M18" s="22" t="str"/>
      <x:c r="N18" s="23" t="str">
        <x:f>IF(D18="","Open",IF(F18="Not Applicable","N/A",IF(OR(H18="",H18="To be confirmed"),IF(G18="Required","Input required","Open"),IF(AND(G18="Required",I18=""),"Evidence needed","Complete"))))</x:f>
        <x:v>Input required</x:v>
      </x:c>
      <x:c r="O18" s="21" t="str"/>
    </x:row>
    <x:row r="19" ht="24" hidden="0" customHeight="1">
      <x:c r="A19" s="20" t="str">
        <x:v>B-BNK-05</x:v>
      </x:c>
      <x:c r="B19" s="20" t="str">
        <x:v>Banking &amp; Lending</x:v>
      </x:c>
      <x:c r="C19" s="20" t="str">
        <x:v>Regulation</x:v>
      </x:c>
      <x:c r="D19" s="21" t="str">
        <x:v>Large exposure, connected lending and concentration limits</x:v>
      </x:c>
      <x:c r="E19" s="21" t="str">
        <x:v>Identifies prudential concentration breaches.</x:v>
      </x:c>
      <x:c r="F19" s="22" t="str">
        <x:v>To Confirm</x:v>
      </x:c>
      <x:c r="G19" s="22" t="str">
        <x:v>Required</x:v>
      </x:c>
      <x:c r="H19" s="22" t="str"/>
      <x:c r="I19" s="22" t="str"/>
      <x:c r="J19" s="22" t="str"/>
      <x:c r="K19" s="22" t="str">
        <x:v>Manual entry</x:v>
      </x:c>
      <x:c r="L19" s="22" t="str">
        <x:v>Unknown</x:v>
      </x:c>
      <x:c r="M19" s="22" t="str"/>
      <x:c r="N19" s="23" t="str">
        <x:f>IF(D19="","Open",IF(F19="Not Applicable","N/A",IF(OR(H19="",H19="To be confirmed"),IF(G19="Required","Input required","Open"),IF(AND(G19="Required",I19=""),"Evidence needed","Complete"))))</x:f>
        <x:v>Input required</x:v>
      </x:c>
      <x:c r="O19" s="21" t="str"/>
    </x:row>
    <x:row r="20" ht="24" hidden="0" customHeight="1">
      <x:c r="A20" s="20" t="str">
        <x:v>B-BNK-06</x:v>
      </x:c>
      <x:c r="B20" s="20" t="str">
        <x:v>Banking &amp; Lending</x:v>
      </x:c>
      <x:c r="C20" s="20" t="str">
        <x:v>Operations</x:v>
      </x:c>
      <x:c r="D20" s="21" t="str">
        <x:v>Core banking, treasury and payment-system dependencies</x:v>
      </x:c>
      <x:c r="E20" s="21" t="str">
        <x:v>Maps critical banking infrastructure.</x:v>
      </x:c>
      <x:c r="F20" s="22" t="str">
        <x:v>To Confirm</x:v>
      </x:c>
      <x:c r="G20" s="22" t="str">
        <x:v>Required</x:v>
      </x:c>
      <x:c r="H20" s="22" t="str"/>
      <x:c r="I20" s="22" t="str"/>
      <x:c r="J20" s="22" t="str"/>
      <x:c r="K20" s="22" t="str">
        <x:v>Manual entry</x:v>
      </x:c>
      <x:c r="L20" s="22" t="str">
        <x:v>Unknown</x:v>
      </x:c>
      <x:c r="M20" s="22" t="str"/>
      <x:c r="N20" s="23" t="str">
        <x:f>IF(D20="","Open",IF(F20="Not Applicable","N/A",IF(OR(H20="",H20="To be confirmed"),IF(G20="Required","Input required","Open"),IF(AND(G20="Required",I20=""),"Evidence needed","Complete"))))</x:f>
        <x:v>Input required</x:v>
      </x:c>
      <x:c r="O20" s="21" t="str"/>
    </x:row>
    <x:row r="21" ht="24" hidden="0" customHeight="1">
      <x:c r="A21" s="20" t="str">
        <x:v>B-INS-01</x:v>
      </x:c>
      <x:c r="B21" s="20" t="str">
        <x:v>Insurance</x:v>
      </x:c>
      <x:c r="C21" s="20" t="str">
        <x:v>Capital</x:v>
      </x:c>
      <x:c r="D21" s="21" t="str">
        <x:v>Solvency capital, technical provisions and capital coverage</x:v>
      </x:c>
      <x:c r="E21" s="21" t="str">
        <x:v>Defines prudential solvency condition.</x:v>
      </x:c>
      <x:c r="F21" s="22" t="str">
        <x:v>To Confirm</x:v>
      </x:c>
      <x:c r="G21" s="22" t="str">
        <x:v>Required</x:v>
      </x:c>
      <x:c r="H21" s="22" t="str"/>
      <x:c r="I21" s="22" t="str"/>
      <x:c r="J21" s="22" t="str"/>
      <x:c r="K21" s="22" t="str">
        <x:v>Manual entry</x:v>
      </x:c>
      <x:c r="L21" s="22" t="str">
        <x:v>Unknown</x:v>
      </x:c>
      <x:c r="M21" s="22" t="str"/>
      <x:c r="N21" s="23" t="str">
        <x:f>IF(D21="","Open",IF(F21="Not Applicable","N/A",IF(OR(H21="",H21="To be confirmed"),IF(G21="Required","Input required","Open"),IF(AND(G21="Required",I21=""),"Evidence needed","Complete"))))</x:f>
        <x:v>Input required</x:v>
      </x:c>
      <x:c r="O21" s="21" t="str"/>
    </x:row>
    <x:row r="22" ht="15" hidden="0" customHeight="1">
      <x:c r="A22" s="20" t="str">
        <x:v>B-INS-02</x:v>
      </x:c>
      <x:c r="B22" s="20" t="str">
        <x:v>Insurance</x:v>
      </x:c>
      <x:c r="C22" s="20" t="str">
        <x:v>Liquidity</x:v>
      </x:c>
      <x:c r="D22" s="21" t="str">
        <x:v>Claims liquidity and asset-liability duration mismatch</x:v>
      </x:c>
      <x:c r="E22" s="21" t="str">
        <x:v>Models claims surge and asset sale pressure.</x:v>
      </x:c>
      <x:c r="F22" s="22" t="str">
        <x:v>To Confirm</x:v>
      </x:c>
      <x:c r="G22" s="22" t="str">
        <x:v>Required</x:v>
      </x:c>
      <x:c r="H22" s="22" t="str"/>
      <x:c r="I22" s="22" t="str"/>
      <x:c r="J22" s="22" t="str"/>
      <x:c r="K22" s="22" t="str">
        <x:v>Manual entry</x:v>
      </x:c>
      <x:c r="L22" s="22" t="str">
        <x:v>Unknown</x:v>
      </x:c>
      <x:c r="M22" s="22" t="str"/>
      <x:c r="N22" s="23" t="str">
        <x:f>IF(D22="","Open",IF(F22="Not Applicable","N/A",IF(OR(H22="",H22="To be confirmed"),IF(G22="Required","Input required","Open"),IF(AND(G22="Required",I22=""),"Evidence needed","Complete"))))</x:f>
        <x:v>Input required</x:v>
      </x:c>
      <x:c r="O22" s="21" t="str"/>
    </x:row>
    <x:row r="23" ht="15" hidden="0" customHeight="1">
      <x:c r="A23" s="20" t="str">
        <x:v>B-INS-03</x:v>
      </x:c>
      <x:c r="B23" s="20" t="str">
        <x:v>Insurance</x:v>
      </x:c>
      <x:c r="C23" s="20" t="str">
        <x:v>Capital</x:v>
      </x:c>
      <x:c r="D23" s="21" t="str">
        <x:v>Catastrophe, mortality, morbidity or liability accumulations</x:v>
      </x:c>
      <x:c r="E23" s="21" t="str">
        <x:v>Captures underwriting tail exposure.</x:v>
      </x:c>
      <x:c r="F23" s="22" t="str">
        <x:v>To Confirm</x:v>
      </x:c>
      <x:c r="G23" s="22" t="str">
        <x:v>Required</x:v>
      </x:c>
      <x:c r="H23" s="22" t="str"/>
      <x:c r="I23" s="22" t="str"/>
      <x:c r="J23" s="22" t="str"/>
      <x:c r="K23" s="22" t="str">
        <x:v>Manual entry</x:v>
      </x:c>
      <x:c r="L23" s="22" t="str">
        <x:v>Unknown</x:v>
      </x:c>
      <x:c r="M23" s="22" t="str"/>
      <x:c r="N23" s="23" t="str">
        <x:f>IF(D23="","Open",IF(F23="Not Applicable","N/A",IF(OR(H23="",H23="To be confirmed"),IF(G23="Required","Input required","Open"),IF(AND(G23="Required",I23=""),"Evidence needed","Complete"))))</x:f>
        <x:v>Input required</x:v>
      </x:c>
      <x:c r="O23" s="21" t="str"/>
    </x:row>
    <x:row r="24" ht="24" hidden="0" customHeight="1">
      <x:c r="A24" s="20" t="str">
        <x:v>B-INS-04</x:v>
      </x:c>
      <x:c r="B24" s="20" t="str">
        <x:v>Insurance</x:v>
      </x:c>
      <x:c r="C24" s="20" t="str">
        <x:v>Operations</x:v>
      </x:c>
      <x:c r="D24" s="21" t="str">
        <x:v>Claims administration and third-party administrator dependencies</x:v>
      </x:c>
      <x:c r="E24" s="21" t="str">
        <x:v>Maps recovery-critical operating partners.</x:v>
      </x:c>
      <x:c r="F24" s="22" t="str">
        <x:v>To Confirm</x:v>
      </x:c>
      <x:c r="G24" s="22" t="str">
        <x:v>Required</x:v>
      </x:c>
      <x:c r="H24" s="22" t="str"/>
      <x:c r="I24" s="22" t="str"/>
      <x:c r="J24" s="22" t="str"/>
      <x:c r="K24" s="22" t="str">
        <x:v>Manual entry</x:v>
      </x:c>
      <x:c r="L24" s="22" t="str">
        <x:v>Unknown</x:v>
      </x:c>
      <x:c r="M24" s="22" t="str"/>
      <x:c r="N24" s="23" t="str">
        <x:f>IF(D24="","Open",IF(F24="Not Applicable","N/A",IF(OR(H24="",H24="To be confirmed"),IF(G24="Required","Input required","Open"),IF(AND(G24="Required",I24=""),"Evidence needed","Complete"))))</x:f>
        <x:v>Input required</x:v>
      </x:c>
      <x:c r="O24" s="21" t="str"/>
    </x:row>
    <x:row r="25" ht="24" hidden="0" customHeight="1">
      <x:c r="A25" s="20" t="str">
        <x:v>B-INS-05</x:v>
      </x:c>
      <x:c r="B25" s="20" t="str">
        <x:v>Insurance</x:v>
      </x:c>
      <x:c r="C25" s="20" t="str">
        <x:v>Capital</x:v>
      </x:c>
      <x:c r="D25" s="21" t="str">
        <x:v>Reinsurance programme, recoverables and counterparty quality</x:v>
      </x:c>
      <x:c r="E25" s="21" t="str">
        <x:v>Models risk transfer effectiveness and counterparty failure.</x:v>
      </x:c>
      <x:c r="F25" s="22" t="str">
        <x:v>To Confirm</x:v>
      </x:c>
      <x:c r="G25" s="22" t="str">
        <x:v>Required</x:v>
      </x:c>
      <x:c r="H25" s="22" t="str"/>
      <x:c r="I25" s="22" t="str"/>
      <x:c r="J25" s="22" t="str"/>
      <x:c r="K25" s="22" t="str">
        <x:v>Manual entry</x:v>
      </x:c>
      <x:c r="L25" s="22" t="str">
        <x:v>Unknown</x:v>
      </x:c>
      <x:c r="M25" s="22" t="str"/>
      <x:c r="N25" s="23" t="str">
        <x:f>IF(D25="","Open",IF(F25="Not Applicable","N/A",IF(OR(H25="",H25="To be confirmed"),IF(G25="Required","Input required","Open"),IF(AND(G25="Required",I25=""),"Evidence needed","Complete"))))</x:f>
        <x:v>Input required</x:v>
      </x:c>
      <x:c r="O25" s="21" t="str"/>
    </x:row>
    <x:row r="26" ht="24" hidden="0" customHeight="1">
      <x:c r="A26" s="20" t="str">
        <x:v>B-RTL-01</x:v>
      </x:c>
      <x:c r="B26" s="20" t="str">
        <x:v>Retail &amp; e-Commerce</x:v>
      </x:c>
      <x:c r="C26" s="20" t="str">
        <x:v>Liquidity</x:v>
      </x:c>
      <x:c r="D26" s="21" t="str">
        <x:v>Seasonality, inventory purchases and working-capital cycle</x:v>
      </x:c>
      <x:c r="E26" s="21" t="str">
        <x:v>Models cash needs around trading peaks.</x:v>
      </x:c>
      <x:c r="F26" s="22" t="str">
        <x:v>To Confirm</x:v>
      </x:c>
      <x:c r="G26" s="22" t="str">
        <x:v>Required</x:v>
      </x:c>
      <x:c r="H26" s="22" t="str"/>
      <x:c r="I26" s="22" t="str"/>
      <x:c r="J26" s="22" t="str"/>
      <x:c r="K26" s="22" t="str">
        <x:v>Manual entry</x:v>
      </x:c>
      <x:c r="L26" s="22" t="str">
        <x:v>Unknown</x:v>
      </x:c>
      <x:c r="M26" s="22" t="str"/>
      <x:c r="N26" s="23" t="str">
        <x:f>IF(D26="","Open",IF(F26="Not Applicable","N/A",IF(OR(H26="",H26="To be confirmed"),IF(G26="Required","Input required","Open"),IF(AND(G26="Required",I26=""),"Evidence needed","Complete"))))</x:f>
        <x:v>Input required</x:v>
      </x:c>
      <x:c r="O26" s="21" t="str"/>
    </x:row>
    <x:row r="27" ht="15" hidden="0" customHeight="1">
      <x:c r="A27" s="20" t="str">
        <x:v>B-RTL-02</x:v>
      </x:c>
      <x:c r="B27" s="20" t="str">
        <x:v>Retail &amp; e-Commerce</x:v>
      </x:c>
      <x:c r="C27" s="20" t="str">
        <x:v>Operations</x:v>
      </x:c>
      <x:c r="D27" s="21" t="str">
        <x:v>Store, fulfilment, marketplace and last-mile dependencies</x:v>
      </x:c>
      <x:c r="E27" s="21" t="str">
        <x:v>Maps customer-service continuity.</x:v>
      </x:c>
      <x:c r="F27" s="22" t="str">
        <x:v>To Confirm</x:v>
      </x:c>
      <x:c r="G27" s="22" t="str">
        <x:v>Required</x:v>
      </x:c>
      <x:c r="H27" s="22" t="str"/>
      <x:c r="I27" s="22" t="str"/>
      <x:c r="J27" s="22" t="str"/>
      <x:c r="K27" s="22" t="str">
        <x:v>Manual entry</x:v>
      </x:c>
      <x:c r="L27" s="22" t="str">
        <x:v>Unknown</x:v>
      </x:c>
      <x:c r="M27" s="22" t="str"/>
      <x:c r="N27" s="23" t="str">
        <x:f>IF(D27="","Open",IF(F27="Not Applicable","N/A",IF(OR(H27="",H27="To be confirmed"),IF(G27="Required","Input required","Open"),IF(AND(G27="Required",I27=""),"Evidence needed","Complete"))))</x:f>
        <x:v>Input required</x:v>
      </x:c>
      <x:c r="O27" s="21" t="str"/>
    </x:row>
    <x:row r="28" ht="24" hidden="0" customHeight="1">
      <x:c r="A28" s="20" t="str">
        <x:v>B-RTL-03</x:v>
      </x:c>
      <x:c r="B28" s="20" t="str">
        <x:v>Retail &amp; e-Commerce</x:v>
      </x:c>
      <x:c r="C28" s="20" t="str">
        <x:v>Merchants</x:v>
      </x:c>
      <x:c r="D28" s="21" t="str">
        <x:v>Supplier, marketplace seller and payment-partner concentration</x:v>
      </x:c>
      <x:c r="E28" s="21" t="str">
        <x:v>Identifies ecosystem dependency.</x:v>
      </x:c>
      <x:c r="F28" s="22" t="str">
        <x:v>To Confirm</x:v>
      </x:c>
      <x:c r="G28" s="22" t="str">
        <x:v>Required</x:v>
      </x:c>
      <x:c r="H28" s="22" t="str"/>
      <x:c r="I28" s="22" t="str"/>
      <x:c r="J28" s="22" t="str"/>
      <x:c r="K28" s="22" t="str">
        <x:v>Manual entry</x:v>
      </x:c>
      <x:c r="L28" s="22" t="str">
        <x:v>Unknown</x:v>
      </x:c>
      <x:c r="M28" s="22" t="str"/>
      <x:c r="N28" s="23" t="str">
        <x:f>IF(D28="","Open",IF(F28="Not Applicable","N/A",IF(OR(H28="",H28="To be confirmed"),IF(G28="Required","Input required","Open"),IF(AND(G28="Required",I28=""),"Evidence needed","Complete"))))</x:f>
        <x:v>Input required</x:v>
      </x:c>
      <x:c r="O28" s="21" t="str"/>
    </x:row>
    <x:row r="29" ht="15" hidden="0" customHeight="1">
      <x:c r="A29" s="20" t="str">
        <x:v>B-RTL-04</x:v>
      </x:c>
      <x:c r="B29" s="20" t="str">
        <x:v>Retail &amp; e-Commerce</x:v>
      </x:c>
      <x:c r="C29" s="20" t="str">
        <x:v>Operations</x:v>
      </x:c>
      <x:c r="D29" s="21" t="str">
        <x:v>Returns, refunds, promotions and customer-service load</x:v>
      </x:c>
      <x:c r="E29" s="21" t="str">
        <x:v>Calibrates operational and liquidity volatility.</x:v>
      </x:c>
      <x:c r="F29" s="22" t="str">
        <x:v>To Confirm</x:v>
      </x:c>
      <x:c r="G29" s="22" t="str">
        <x:v>Required</x:v>
      </x:c>
      <x:c r="H29" s="22" t="str"/>
      <x:c r="I29" s="22" t="str"/>
      <x:c r="J29" s="22" t="str"/>
      <x:c r="K29" s="22" t="str">
        <x:v>Manual entry</x:v>
      </x:c>
      <x:c r="L29" s="22" t="str">
        <x:v>Unknown</x:v>
      </x:c>
      <x:c r="M29" s="22" t="str"/>
      <x:c r="N29" s="23" t="str">
        <x:f>IF(D29="","Open",IF(F29="Not Applicable","N/A",IF(OR(H29="",H29="To be confirmed"),IF(G29="Required","Input required","Open"),IF(AND(G29="Required",I29=""),"Evidence needed","Complete"))))</x:f>
        <x:v>Input required</x:v>
      </x:c>
      <x:c r="O29" s="21" t="str"/>
    </x:row>
    <x:row r="30" ht="24" hidden="0" customHeight="1">
      <x:c r="A30" s="20" t="str">
        <x:v>B-RTL-05</x:v>
      </x:c>
      <x:c r="B30" s="20" t="str">
        <x:v>Retail &amp; e-Commerce</x:v>
      </x:c>
      <x:c r="C30" s="20" t="str">
        <x:v>Regulation</x:v>
      </x:c>
      <x:c r="D30" s="21" t="str">
        <x:v>Consumer protection, product safety and marketplace obligations</x:v>
      </x:c>
      <x:c r="E30" s="21" t="str">
        <x:v>Defines conduct and remediation exposure.</x:v>
      </x:c>
      <x:c r="F30" s="22" t="str">
        <x:v>To Confirm</x:v>
      </x:c>
      <x:c r="G30" s="22" t="str">
        <x:v>Required</x:v>
      </x:c>
      <x:c r="H30" s="22" t="str"/>
      <x:c r="I30" s="22" t="str"/>
      <x:c r="J30" s="22" t="str"/>
      <x:c r="K30" s="22" t="str">
        <x:v>Manual entry</x:v>
      </x:c>
      <x:c r="L30" s="22" t="str">
        <x:v>Unknown</x:v>
      </x:c>
      <x:c r="M30" s="22" t="str"/>
      <x:c r="N30" s="23" t="str">
        <x:f>IF(D30="","Open",IF(F30="Not Applicable","N/A",IF(OR(H30="",H30="To be confirmed"),IF(G30="Required","Input required","Open"),IF(AND(G30="Required",I30=""),"Evidence needed","Complete"))))</x:f>
        <x:v>Input required</x:v>
      </x:c>
      <x:c r="O30" s="21" t="str"/>
    </x:row>
    <x:row r="31" ht="15" hidden="0" customHeight="1">
      <x:c r="A31" s="20" t="str">
        <x:v>B-MFG-01</x:v>
      </x:c>
      <x:c r="B31" s="20" t="str">
        <x:v>Manufacturing</x:v>
      </x:c>
      <x:c r="C31" s="20" t="str">
        <x:v>Operations</x:v>
      </x:c>
      <x:c r="D31" s="21" t="str">
        <x:v>Plant, line, tooling and capacity constraints</x:v>
      </x:c>
      <x:c r="E31" s="21" t="str">
        <x:v>Maps physical production bottlenecks.</x:v>
      </x:c>
      <x:c r="F31" s="22" t="str">
        <x:v>To Confirm</x:v>
      </x:c>
      <x:c r="G31" s="22" t="str">
        <x:v>Required</x:v>
      </x:c>
      <x:c r="H31" s="22" t="str"/>
      <x:c r="I31" s="22" t="str"/>
      <x:c r="J31" s="22" t="str"/>
      <x:c r="K31" s="22" t="str">
        <x:v>Manual entry</x:v>
      </x:c>
      <x:c r="L31" s="22" t="str">
        <x:v>Unknown</x:v>
      </x:c>
      <x:c r="M31" s="22" t="str"/>
      <x:c r="N31" s="23" t="str">
        <x:f>IF(D31="","Open",IF(F31="Not Applicable","N/A",IF(OR(H31="",H31="To be confirmed"),IF(G31="Required","Input required","Open"),IF(AND(G31="Required",I31=""),"Evidence needed","Complete"))))</x:f>
        <x:v>Input required</x:v>
      </x:c>
      <x:c r="O31" s="21" t="str"/>
    </x:row>
    <x:row r="32" ht="24" hidden="0" customHeight="1">
      <x:c r="A32" s="20" t="str">
        <x:v>B-MFG-02</x:v>
      </x:c>
      <x:c r="B32" s="20" t="str">
        <x:v>Manufacturing</x:v>
      </x:c>
      <x:c r="C32" s="20" t="str">
        <x:v>Operations</x:v>
      </x:c>
      <x:c r="D32" s="21" t="str">
        <x:v>Critical raw materials, single-source suppliers and lead times</x:v>
      </x:c>
      <x:c r="E32" s="21" t="str">
        <x:v>Models supply interruption and recovery.</x:v>
      </x:c>
      <x:c r="F32" s="22" t="str">
        <x:v>To Confirm</x:v>
      </x:c>
      <x:c r="G32" s="22" t="str">
        <x:v>Required</x:v>
      </x:c>
      <x:c r="H32" s="22" t="str"/>
      <x:c r="I32" s="22" t="str"/>
      <x:c r="J32" s="22" t="str"/>
      <x:c r="K32" s="22" t="str">
        <x:v>Manual entry</x:v>
      </x:c>
      <x:c r="L32" s="22" t="str">
        <x:v>Unknown</x:v>
      </x:c>
      <x:c r="M32" s="22" t="str"/>
      <x:c r="N32" s="23" t="str">
        <x:f>IF(D32="","Open",IF(F32="Not Applicable","N/A",IF(OR(H32="",H32="To be confirmed"),IF(G32="Required","Input required","Open"),IF(AND(G32="Required",I32=""),"Evidence needed","Complete"))))</x:f>
        <x:v>Input required</x:v>
      </x:c>
      <x:c r="O32" s="21" t="str"/>
    </x:row>
    <x:row r="33" ht="15" hidden="0" customHeight="1">
      <x:c r="A33" s="20" t="str">
        <x:v>B-MFG-03</x:v>
      </x:c>
      <x:c r="B33" s="20" t="str">
        <x:v>Manufacturing</x:v>
      </x:c>
      <x:c r="C33" s="20" t="str">
        <x:v>Liquidity</x:v>
      </x:c>
      <x:c r="D33" s="21" t="str">
        <x:v>Inventory, work-in-progress and customer payment cycle</x:v>
      </x:c>
      <x:c r="E33" s="21" t="str">
        <x:v>Calibrates working-capital stress.</x:v>
      </x:c>
      <x:c r="F33" s="22" t="str">
        <x:v>To Confirm</x:v>
      </x:c>
      <x:c r="G33" s="22" t="str">
        <x:v>Required</x:v>
      </x:c>
      <x:c r="H33" s="22" t="str"/>
      <x:c r="I33" s="22" t="str"/>
      <x:c r="J33" s="22" t="str"/>
      <x:c r="K33" s="22" t="str">
        <x:v>Manual entry</x:v>
      </x:c>
      <x:c r="L33" s="22" t="str">
        <x:v>Unknown</x:v>
      </x:c>
      <x:c r="M33" s="22" t="str"/>
      <x:c r="N33" s="23" t="str">
        <x:f>IF(D33="","Open",IF(F33="Not Applicable","N/A",IF(OR(H33="",H33="To be confirmed"),IF(G33="Required","Input required","Open"),IF(AND(G33="Required",I33=""),"Evidence needed","Complete"))))</x:f>
        <x:v>Input required</x:v>
      </x:c>
      <x:c r="O33" s="21" t="str"/>
    </x:row>
    <x:row r="34" ht="15" hidden="0" customHeight="1">
      <x:c r="A34" s="20" t="str">
        <x:v>B-MFG-04</x:v>
      </x:c>
      <x:c r="B34" s="20" t="str">
        <x:v>Manufacturing</x:v>
      </x:c>
      <x:c r="C34" s="20" t="str">
        <x:v>Countries &amp; Corridors</x:v>
      </x:c>
      <x:c r="D34" s="21" t="str">
        <x:v>Import/export routes, customs and trade restrictions</x:v>
      </x:c>
      <x:c r="E34" s="21" t="str">
        <x:v>Captures cross-border production exposure.</x:v>
      </x:c>
      <x:c r="F34" s="22" t="str">
        <x:v>To Confirm</x:v>
      </x:c>
      <x:c r="G34" s="22" t="str">
        <x:v>Required</x:v>
      </x:c>
      <x:c r="H34" s="22" t="str"/>
      <x:c r="I34" s="22" t="str"/>
      <x:c r="J34" s="22" t="str"/>
      <x:c r="K34" s="22" t="str">
        <x:v>Manual entry</x:v>
      </x:c>
      <x:c r="L34" s="22" t="str">
        <x:v>Unknown</x:v>
      </x:c>
      <x:c r="M34" s="22" t="str"/>
      <x:c r="N34" s="23" t="str">
        <x:f>IF(D34="","Open",IF(F34="Not Applicable","N/A",IF(OR(H34="",H34="To be confirmed"),IF(G34="Required","Input required","Open"),IF(AND(G34="Required",I34=""),"Evidence needed","Complete"))))</x:f>
        <x:v>Input required</x:v>
      </x:c>
      <x:c r="O34" s="21" t="str"/>
    </x:row>
    <x:row r="35" ht="24" hidden="0" customHeight="1">
      <x:c r="A35" s="20" t="str">
        <x:v>B-MFG-05</x:v>
      </x:c>
      <x:c r="B35" s="20" t="str">
        <x:v>Manufacturing</x:v>
      </x:c>
      <x:c r="C35" s="20" t="str">
        <x:v>Regulation</x:v>
      </x:c>
      <x:c r="D35" s="21" t="str">
        <x:v>Product certification, environmental and safety obligations</x:v>
      </x:c>
      <x:c r="E35" s="21" t="str">
        <x:v>Models shutdown, recall and remediation risk.</x:v>
      </x:c>
      <x:c r="F35" s="22" t="str">
        <x:v>To Confirm</x:v>
      </x:c>
      <x:c r="G35" s="22" t="str">
        <x:v>Required</x:v>
      </x:c>
      <x:c r="H35" s="22" t="str"/>
      <x:c r="I35" s="22" t="str"/>
      <x:c r="J35" s="22" t="str"/>
      <x:c r="K35" s="22" t="str">
        <x:v>Manual entry</x:v>
      </x:c>
      <x:c r="L35" s="22" t="str">
        <x:v>Unknown</x:v>
      </x:c>
      <x:c r="M35" s="22" t="str"/>
      <x:c r="N35" s="23" t="str">
        <x:f>IF(D35="","Open",IF(F35="Not Applicable","N/A",IF(OR(H35="",H35="To be confirmed"),IF(G35="Required","Input required","Open"),IF(AND(G35="Required",I35=""),"Evidence needed","Complete"))))</x:f>
        <x:v>Input required</x:v>
      </x:c>
      <x:c r="O35" s="21" t="str"/>
    </x:row>
    <x:row r="36" ht="24" hidden="0" customHeight="1">
      <x:c r="A36" s="20" t="str">
        <x:v>B-SAA-01</x:v>
      </x:c>
      <x:c r="B36" s="20" t="str">
        <x:v>Technology &amp; SaaS</x:v>
      </x:c>
      <x:c r="C36" s="20" t="str">
        <x:v>Operations</x:v>
      </x:c>
      <x:c r="D36" s="21" t="str">
        <x:v>Cloud regions, platform services and single-cloud dependencies</x:v>
      </x:c>
      <x:c r="E36" s="21" t="str">
        <x:v>Maps availability and concentration risk.</x:v>
      </x:c>
      <x:c r="F36" s="22" t="str">
        <x:v>To Confirm</x:v>
      </x:c>
      <x:c r="G36" s="22" t="str">
        <x:v>Required</x:v>
      </x:c>
      <x:c r="H36" s="22" t="str"/>
      <x:c r="I36" s="22" t="str"/>
      <x:c r="J36" s="22" t="str"/>
      <x:c r="K36" s="22" t="str">
        <x:v>Manual entry</x:v>
      </x:c>
      <x:c r="L36" s="22" t="str">
        <x:v>Unknown</x:v>
      </x:c>
      <x:c r="M36" s="22" t="str"/>
      <x:c r="N36" s="23" t="str">
        <x:f>IF(D36="","Open",IF(F36="Not Applicable","N/A",IF(OR(H36="",H36="To be confirmed"),IF(G36="Required","Input required","Open"),IF(AND(G36="Required",I36=""),"Evidence needed","Complete"))))</x:f>
        <x:v>Input required</x:v>
      </x:c>
      <x:c r="O36" s="21" t="str"/>
    </x:row>
    <x:row r="37" ht="24" hidden="0" customHeight="1">
      <x:c r="A37" s="20" t="str">
        <x:v>B-SAA-02</x:v>
      </x:c>
      <x:c r="B37" s="20" t="str">
        <x:v>Technology &amp; SaaS</x:v>
      </x:c>
      <x:c r="C37" s="20" t="str">
        <x:v>Liquidity</x:v>
      </x:c>
      <x:c r="D37" s="21" t="str">
        <x:v>Annual recurring revenue, renewal profile and deferred revenue</x:v>
      </x:c>
      <x:c r="E37" s="21" t="str">
        <x:v>Models cash generation and churn effects.</x:v>
      </x:c>
      <x:c r="F37" s="22" t="str">
        <x:v>To Confirm</x:v>
      </x:c>
      <x:c r="G37" s="22" t="str">
        <x:v>Required</x:v>
      </x:c>
      <x:c r="H37" s="22" t="str"/>
      <x:c r="I37" s="22" t="str"/>
      <x:c r="J37" s="22" t="str"/>
      <x:c r="K37" s="22" t="str">
        <x:v>Manual entry</x:v>
      </x:c>
      <x:c r="L37" s="22" t="str">
        <x:v>Unknown</x:v>
      </x:c>
      <x:c r="M37" s="22" t="str"/>
      <x:c r="N37" s="23" t="str">
        <x:f>IF(D37="","Open",IF(F37="Not Applicable","N/A",IF(OR(H37="",H37="To be confirmed"),IF(G37="Required","Input required","Open"),IF(AND(G37="Required",I37=""),"Evidence needed","Complete"))))</x:f>
        <x:v>Input required</x:v>
      </x:c>
      <x:c r="O37" s="21" t="str"/>
    </x:row>
    <x:row r="38" ht="24" hidden="0" customHeight="1">
      <x:c r="A38" s="20" t="str">
        <x:v>B-SAA-03</x:v>
      </x:c>
      <x:c r="B38" s="20" t="str">
        <x:v>Technology &amp; SaaS</x:v>
      </x:c>
      <x:c r="C38" s="20" t="str">
        <x:v>Operations</x:v>
      </x:c>
      <x:c r="D38" s="21" t="str">
        <x:v>Service-level commitments, credits and outage escalation</x:v>
      </x:c>
      <x:c r="E38" s="21" t="str">
        <x:v>Quantifies customer and revenue effects of downtime.</x:v>
      </x:c>
      <x:c r="F38" s="22" t="str">
        <x:v>To Confirm</x:v>
      </x:c>
      <x:c r="G38" s="22" t="str">
        <x:v>Required</x:v>
      </x:c>
      <x:c r="H38" s="22" t="str"/>
      <x:c r="I38" s="22" t="str"/>
      <x:c r="J38" s="22" t="str"/>
      <x:c r="K38" s="22" t="str">
        <x:v>Manual entry</x:v>
      </x:c>
      <x:c r="L38" s="22" t="str">
        <x:v>Unknown</x:v>
      </x:c>
      <x:c r="M38" s="22" t="str"/>
      <x:c r="N38" s="23" t="str">
        <x:f>IF(D38="","Open",IF(F38="Not Applicable","N/A",IF(OR(H38="",H38="To be confirmed"),IF(G38="Required","Input required","Open"),IF(AND(G38="Required",I38=""),"Evidence needed","Complete"))))</x:f>
        <x:v>Input required</x:v>
      </x:c>
      <x:c r="O38" s="21" t="str"/>
    </x:row>
    <x:row r="39" ht="24" hidden="0" customHeight="1">
      <x:c r="A39" s="20" t="str">
        <x:v>B-SAA-04</x:v>
      </x:c>
      <x:c r="B39" s="20" t="str">
        <x:v>Technology &amp; SaaS</x:v>
      </x:c>
      <x:c r="C39" s="20" t="str">
        <x:v>Regulation</x:v>
      </x:c>
      <x:c r="D39" s="21" t="str">
        <x:v>Data residency, export control and software assurance obligations</x:v>
      </x:c>
      <x:c r="E39" s="21" t="str">
        <x:v>Defines cross-border and product constraints.</x:v>
      </x:c>
      <x:c r="F39" s="22" t="str">
        <x:v>To Confirm</x:v>
      </x:c>
      <x:c r="G39" s="22" t="str">
        <x:v>Required</x:v>
      </x:c>
      <x:c r="H39" s="22" t="str"/>
      <x:c r="I39" s="22" t="str"/>
      <x:c r="J39" s="22" t="str"/>
      <x:c r="K39" s="22" t="str">
        <x:v>Manual entry</x:v>
      </x:c>
      <x:c r="L39" s="22" t="str">
        <x:v>Unknown</x:v>
      </x:c>
      <x:c r="M39" s="22" t="str"/>
      <x:c r="N39" s="23" t="str">
        <x:f>IF(D39="","Open",IF(F39="Not Applicable","N/A",IF(OR(H39="",H39="To be confirmed"),IF(G39="Required","Input required","Open"),IF(AND(G39="Required",I39=""),"Evidence needed","Complete"))))</x:f>
        <x:v>Input required</x:v>
      </x:c>
      <x:c r="O39" s="21" t="str"/>
    </x:row>
    <x:row r="40" ht="24" hidden="0" customHeight="1">
      <x:c r="A40" s="20" t="str">
        <x:v>B-SAA-05</x:v>
      </x:c>
      <x:c r="B40" s="20" t="str">
        <x:v>Technology &amp; SaaS</x:v>
      </x:c>
      <x:c r="C40" s="20" t="str">
        <x:v>Merchants</x:v>
      </x:c>
      <x:c r="D40" s="21" t="str">
        <x:v>Top-customer, channel and platform-marketplace concentration</x:v>
      </x:c>
      <x:c r="E40" s="21" t="str">
        <x:v>Identifies commercial dependency.</x:v>
      </x:c>
      <x:c r="F40" s="22" t="str">
        <x:v>To Confirm</x:v>
      </x:c>
      <x:c r="G40" s="22" t="str">
        <x:v>Required</x:v>
      </x:c>
      <x:c r="H40" s="22" t="str"/>
      <x:c r="I40" s="22" t="str"/>
      <x:c r="J40" s="22" t="str"/>
      <x:c r="K40" s="22" t="str">
        <x:v>Manual entry</x:v>
      </x:c>
      <x:c r="L40" s="22" t="str">
        <x:v>Unknown</x:v>
      </x:c>
      <x:c r="M40" s="22" t="str"/>
      <x:c r="N40" s="23" t="str">
        <x:f>IF(D40="","Open",IF(F40="Not Applicable","N/A",IF(OR(H40="",H40="To be confirmed"),IF(G40="Required","Input required","Open"),IF(AND(G40="Required",I40=""),"Evidence needed","Complete"))))</x:f>
        <x:v>Input required</x:v>
      </x:c>
      <x:c r="O40" s="21" t="str"/>
    </x:row>
    <x:row r="41" ht="24" hidden="0" customHeight="1">
      <x:c r="A41" s="20" t="str">
        <x:v>B-HLT-01</x:v>
      </x:c>
      <x:c r="B41" s="20" t="str">
        <x:v>Healthcare &amp; Life Sciences</x:v>
      </x:c>
      <x:c r="C41" s="20" t="str">
        <x:v>Operations</x:v>
      </x:c>
      <x:c r="D41" s="21" t="str">
        <x:v>Clinical service, patient safety and care-continuity dependencies</x:v>
      </x:c>
      <x:c r="E41" s="21" t="str">
        <x:v>Prioritises harm-sensitive services.</x:v>
      </x:c>
      <x:c r="F41" s="22" t="str">
        <x:v>To Confirm</x:v>
      </x:c>
      <x:c r="G41" s="22" t="str">
        <x:v>Required</x:v>
      </x:c>
      <x:c r="H41" s="22" t="str"/>
      <x:c r="I41" s="22" t="str"/>
      <x:c r="J41" s="22" t="str"/>
      <x:c r="K41" s="22" t="str">
        <x:v>Manual entry</x:v>
      </x:c>
      <x:c r="L41" s="22" t="str">
        <x:v>Unknown</x:v>
      </x:c>
      <x:c r="M41" s="22" t="str"/>
      <x:c r="N41" s="23" t="str">
        <x:f>IF(D41="","Open",IF(F41="Not Applicable","N/A",IF(OR(H41="",H41="To be confirmed"),IF(G41="Required","Input required","Open"),IF(AND(G41="Required",I41=""),"Evidence needed","Complete"))))</x:f>
        <x:v>Input required</x:v>
      </x:c>
      <x:c r="O41" s="21" t="str"/>
    </x:row>
    <x:row r="42" ht="24" hidden="0" customHeight="1">
      <x:c r="A42" s="20" t="str">
        <x:v>B-HLT-02</x:v>
      </x:c>
      <x:c r="B42" s="20" t="str">
        <x:v>Healthcare &amp; Life Sciences</x:v>
      </x:c>
      <x:c r="C42" s="20" t="str">
        <x:v>Regulation</x:v>
      </x:c>
      <x:c r="D42" s="21" t="str">
        <x:v>Health information, consent and medical-record obligations</x:v>
      </x:c>
      <x:c r="E42" s="21" t="str">
        <x:v>Defines heightened privacy and retention controls.</x:v>
      </x:c>
      <x:c r="F42" s="22" t="str">
        <x:v>To Confirm</x:v>
      </x:c>
      <x:c r="G42" s="22" t="str">
        <x:v>Required</x:v>
      </x:c>
      <x:c r="H42" s="22" t="str"/>
      <x:c r="I42" s="22" t="str"/>
      <x:c r="J42" s="22" t="str"/>
      <x:c r="K42" s="22" t="str">
        <x:v>Manual entry</x:v>
      </x:c>
      <x:c r="L42" s="22" t="str">
        <x:v>Unknown</x:v>
      </x:c>
      <x:c r="M42" s="22" t="str"/>
      <x:c r="N42" s="23" t="str">
        <x:f>IF(D42="","Open",IF(F42="Not Applicable","N/A",IF(OR(H42="",H42="To be confirmed"),IF(G42="Required","Input required","Open"),IF(AND(G42="Required",I42=""),"Evidence needed","Complete"))))</x:f>
        <x:v>Input required</x:v>
      </x:c>
      <x:c r="O42" s="21" t="str"/>
    </x:row>
    <x:row r="43" ht="15" hidden="0" customHeight="1">
      <x:c r="A43" s="20" t="str">
        <x:v>B-HLT-03</x:v>
      </x:c>
      <x:c r="B43" s="20" t="str">
        <x:v>Healthcare &amp; Life Sciences</x:v>
      </x:c>
      <x:c r="C43" s="20" t="str">
        <x:v>Operations</x:v>
      </x:c>
      <x:c r="D43" s="21" t="str">
        <x:v>Medical device, laboratory and pharmacy dependencies</x:v>
      </x:c>
      <x:c r="E43" s="21" t="str">
        <x:v>Maps specialised supply and technology risks.</x:v>
      </x:c>
      <x:c r="F43" s="22" t="str">
        <x:v>To Confirm</x:v>
      </x:c>
      <x:c r="G43" s="22" t="str">
        <x:v>Required</x:v>
      </x:c>
      <x:c r="H43" s="22" t="str"/>
      <x:c r="I43" s="22" t="str"/>
      <x:c r="J43" s="22" t="str"/>
      <x:c r="K43" s="22" t="str">
        <x:v>Manual entry</x:v>
      </x:c>
      <x:c r="L43" s="22" t="str">
        <x:v>Unknown</x:v>
      </x:c>
      <x:c r="M43" s="22" t="str"/>
      <x:c r="N43" s="23" t="str">
        <x:f>IF(D43="","Open",IF(F43="Not Applicable","N/A",IF(OR(H43="",H43="To be confirmed"),IF(G43="Required","Input required","Open"),IF(AND(G43="Required",I43=""),"Evidence needed","Complete"))))</x:f>
        <x:v>Input required</x:v>
      </x:c>
      <x:c r="O43" s="21" t="str"/>
    </x:row>
    <x:row r="44" ht="15" hidden="0" customHeight="1">
      <x:c r="A44" s="20" t="str">
        <x:v>B-HLT-04</x:v>
      </x:c>
      <x:c r="B44" s="20" t="str">
        <x:v>Healthcare &amp; Life Sciences</x:v>
      </x:c>
      <x:c r="C44" s="20" t="str">
        <x:v>Liquidity</x:v>
      </x:c>
      <x:c r="D44" s="21" t="str">
        <x:v>Payer, insurer and government reimbursement cycles</x:v>
      </x:c>
      <x:c r="E44" s="21" t="str">
        <x:v>Models receivable and funding delays.</x:v>
      </x:c>
      <x:c r="F44" s="22" t="str">
        <x:v>To Confirm</x:v>
      </x:c>
      <x:c r="G44" s="22" t="str">
        <x:v>Required</x:v>
      </x:c>
      <x:c r="H44" s="22" t="str"/>
      <x:c r="I44" s="22" t="str"/>
      <x:c r="J44" s="22" t="str"/>
      <x:c r="K44" s="22" t="str">
        <x:v>Manual entry</x:v>
      </x:c>
      <x:c r="L44" s="22" t="str">
        <x:v>Unknown</x:v>
      </x:c>
      <x:c r="M44" s="22" t="str"/>
      <x:c r="N44" s="23" t="str">
        <x:f>IF(D44="","Open",IF(F44="Not Applicable","N/A",IF(OR(H44="",H44="To be confirmed"),IF(G44="Required","Input required","Open"),IF(AND(G44="Required",I44=""),"Evidence needed","Complete"))))</x:f>
        <x:v>Input required</x:v>
      </x:c>
      <x:c r="O44" s="21" t="str"/>
    </x:row>
    <x:row r="45" ht="24" hidden="0" customHeight="1">
      <x:c r="A45" s="20" t="str">
        <x:v>B-HLT-05</x:v>
      </x:c>
      <x:c r="B45" s="20" t="str">
        <x:v>Healthcare &amp; Life Sciences</x:v>
      </x:c>
      <x:c r="C45" s="20" t="str">
        <x:v>Regulation</x:v>
      </x:c>
      <x:c r="D45" s="21" t="str">
        <x:v>Clinical trial, pharmacovigilance and product-quality obligations</x:v>
      </x:c>
      <x:c r="E45" s="21" t="str">
        <x:v>Captures sector-specific compliance exposure.</x:v>
      </x:c>
      <x:c r="F45" s="22" t="str">
        <x:v>To Confirm</x:v>
      </x:c>
      <x:c r="G45" s="22" t="str">
        <x:v>Required</x:v>
      </x:c>
      <x:c r="H45" s="22" t="str"/>
      <x:c r="I45" s="22" t="str"/>
      <x:c r="J45" s="22" t="str"/>
      <x:c r="K45" s="22" t="str">
        <x:v>Manual entry</x:v>
      </x:c>
      <x:c r="L45" s="22" t="str">
        <x:v>Unknown</x:v>
      </x:c>
      <x:c r="M45" s="22" t="str"/>
      <x:c r="N45" s="23" t="str">
        <x:f>IF(D45="","Open",IF(F45="Not Applicable","N/A",IF(OR(H45="",H45="To be confirmed"),IF(G45="Required","Input required","Open"),IF(AND(G45="Required",I45=""),"Evidence needed","Complete"))))</x:f>
        <x:v>Input required</x:v>
      </x:c>
      <x:c r="O45" s="21" t="str"/>
    </x:row>
    <x:row r="46" ht="15" hidden="0" customHeight="1">
      <x:c r="A46" s="20" t="str">
        <x:v>B-LOG-01</x:v>
      </x:c>
      <x:c r="B46" s="20" t="str">
        <x:v>Logistics &amp; Transportation</x:v>
      </x:c>
      <x:c r="C46" s="20" t="str">
        <x:v>Operations</x:v>
      </x:c>
      <x:c r="D46" s="21" t="str">
        <x:v>Fleet, hub, route and capacity dependencies</x:v>
      </x:c>
      <x:c r="E46" s="21" t="str">
        <x:v>Maps service continuity and bottlenecks.</x:v>
      </x:c>
      <x:c r="F46" s="22" t="str">
        <x:v>To Confirm</x:v>
      </x:c>
      <x:c r="G46" s="22" t="str">
        <x:v>Required</x:v>
      </x:c>
      <x:c r="H46" s="22" t="str"/>
      <x:c r="I46" s="22" t="str"/>
      <x:c r="J46" s="22" t="str"/>
      <x:c r="K46" s="22" t="str">
        <x:v>Manual entry</x:v>
      </x:c>
      <x:c r="L46" s="22" t="str">
        <x:v>Unknown</x:v>
      </x:c>
      <x:c r="M46" s="22" t="str"/>
      <x:c r="N46" s="23" t="str">
        <x:f>IF(D46="","Open",IF(F46="Not Applicable","N/A",IF(OR(H46="",H46="To be confirmed"),IF(G46="Required","Input required","Open"),IF(AND(G46="Required",I46=""),"Evidence needed","Complete"))))</x:f>
        <x:v>Input required</x:v>
      </x:c>
      <x:c r="O46" s="21" t="str"/>
    </x:row>
    <x:row r="47" ht="15" hidden="0" customHeight="1">
      <x:c r="A47" s="20" t="str">
        <x:v>B-LOG-02</x:v>
      </x:c>
      <x:c r="B47" s="20" t="str">
        <x:v>Logistics &amp; Transportation</x:v>
      </x:c>
      <x:c r="C47" s="20" t="str">
        <x:v>Countries &amp; Corridors</x:v>
      </x:c>
      <x:c r="D47" s="21" t="str">
        <x:v>Ports, borders, customs and trade-lane concentration</x:v>
      </x:c>
      <x:c r="E47" s="21" t="str">
        <x:v>Models corridor interruption.</x:v>
      </x:c>
      <x:c r="F47" s="22" t="str">
        <x:v>To Confirm</x:v>
      </x:c>
      <x:c r="G47" s="22" t="str">
        <x:v>Required</x:v>
      </x:c>
      <x:c r="H47" s="22" t="str"/>
      <x:c r="I47" s="22" t="str"/>
      <x:c r="J47" s="22" t="str"/>
      <x:c r="K47" s="22" t="str">
        <x:v>Manual entry</x:v>
      </x:c>
      <x:c r="L47" s="22" t="str">
        <x:v>Unknown</x:v>
      </x:c>
      <x:c r="M47" s="22" t="str"/>
      <x:c r="N47" s="23" t="str">
        <x:f>IF(D47="","Open",IF(F47="Not Applicable","N/A",IF(OR(H47="",H47="To be confirmed"),IF(G47="Required","Input required","Open"),IF(AND(G47="Required",I47=""),"Evidence needed","Complete"))))</x:f>
        <x:v>Input required</x:v>
      </x:c>
      <x:c r="O47" s="21" t="str"/>
    </x:row>
    <x:row r="48" ht="15" hidden="0" customHeight="1">
      <x:c r="A48" s="20" t="str">
        <x:v>B-LOG-03</x:v>
      </x:c>
      <x:c r="B48" s="20" t="str">
        <x:v>Logistics &amp; Transportation</x:v>
      </x:c>
      <x:c r="C48" s="20" t="str">
        <x:v>Liquidity</x:v>
      </x:c>
      <x:c r="D48" s="21" t="str">
        <x:v>Fuel, toll, lease and subcontractor payment exposure</x:v>
      </x:c>
      <x:c r="E48" s="21" t="str">
        <x:v>Captures cost and working-capital volatility.</x:v>
      </x:c>
      <x:c r="F48" s="22" t="str">
        <x:v>To Confirm</x:v>
      </x:c>
      <x:c r="G48" s="22" t="str">
        <x:v>Required</x:v>
      </x:c>
      <x:c r="H48" s="22" t="str"/>
      <x:c r="I48" s="22" t="str"/>
      <x:c r="J48" s="22" t="str"/>
      <x:c r="K48" s="22" t="str">
        <x:v>Manual entry</x:v>
      </x:c>
      <x:c r="L48" s="22" t="str">
        <x:v>Unknown</x:v>
      </x:c>
      <x:c r="M48" s="22" t="str"/>
      <x:c r="N48" s="23" t="str">
        <x:f>IF(D48="","Open",IF(F48="Not Applicable","N/A",IF(OR(H48="",H48="To be confirmed"),IF(G48="Required","Input required","Open"),IF(AND(G48="Required",I48=""),"Evidence needed","Complete"))))</x:f>
        <x:v>Input required</x:v>
      </x:c>
      <x:c r="O48" s="21" t="str"/>
    </x:row>
    <x:row r="49" ht="24" hidden="0" customHeight="1">
      <x:c r="A49" s="20" t="str">
        <x:v>B-LOG-04</x:v>
      </x:c>
      <x:c r="B49" s="20" t="str">
        <x:v>Logistics &amp; Transportation</x:v>
      </x:c>
      <x:c r="C49" s="20" t="str">
        <x:v>Regulation</x:v>
      </x:c>
      <x:c r="D49" s="21" t="str">
        <x:v>Safety, dangerous-goods and operator licensing obligations</x:v>
      </x:c>
      <x:c r="E49" s="21" t="str">
        <x:v>Defines operating restrictions and incident exposure.</x:v>
      </x:c>
      <x:c r="F49" s="22" t="str">
        <x:v>To Confirm</x:v>
      </x:c>
      <x:c r="G49" s="22" t="str">
        <x:v>Required</x:v>
      </x:c>
      <x:c r="H49" s="22" t="str"/>
      <x:c r="I49" s="22" t="str"/>
      <x:c r="J49" s="22" t="str"/>
      <x:c r="K49" s="22" t="str">
        <x:v>Manual entry</x:v>
      </x:c>
      <x:c r="L49" s="22" t="str">
        <x:v>Unknown</x:v>
      </x:c>
      <x:c r="M49" s="22" t="str"/>
      <x:c r="N49" s="23" t="str">
        <x:f>IF(D49="","Open",IF(F49="Not Applicable","N/A",IF(OR(H49="",H49="To be confirmed"),IF(G49="Required","Input required","Open"),IF(AND(G49="Required",I49=""),"Evidence needed","Complete"))))</x:f>
        <x:v>Input required</x:v>
      </x:c>
      <x:c r="O49" s="21" t="str"/>
    </x:row>
    <x:row r="50" ht="24" hidden="0" customHeight="1">
      <x:c r="A50" s="20" t="str">
        <x:v>B-LOG-05</x:v>
      </x:c>
      <x:c r="B50" s="20" t="str">
        <x:v>Logistics &amp; Transportation</x:v>
      </x:c>
      <x:c r="C50" s="20" t="str">
        <x:v>Operations</x:v>
      </x:c>
      <x:c r="D50" s="21" t="str">
        <x:v>Tracking, scheduling and warehouse-system dependencies</x:v>
      </x:c>
      <x:c r="E50" s="21" t="str">
        <x:v>Maps digital support for physical operations.</x:v>
      </x:c>
      <x:c r="F50" s="22" t="str">
        <x:v>To Confirm</x:v>
      </x:c>
      <x:c r="G50" s="22" t="str">
        <x:v>Required</x:v>
      </x:c>
      <x:c r="H50" s="22" t="str"/>
      <x:c r="I50" s="22" t="str"/>
      <x:c r="J50" s="22" t="str"/>
      <x:c r="K50" s="22" t="str">
        <x:v>Manual entry</x:v>
      </x:c>
      <x:c r="L50" s="22" t="str">
        <x:v>Unknown</x:v>
      </x:c>
      <x:c r="M50" s="22" t="str"/>
      <x:c r="N50" s="23" t="str">
        <x:f>IF(D50="","Open",IF(F50="Not Applicable","N/A",IF(OR(H50="",H50="To be confirmed"),IF(G50="Required","Input required","Open"),IF(AND(G50="Required",I50=""),"Evidence needed","Complete"))))</x:f>
        <x:v>Input required</x:v>
      </x:c>
      <x:c r="O50" s="21" t="str"/>
    </x:row>
    <x:row r="51" ht="24" hidden="0" customHeight="1">
      <x:c r="A51" s="20" t="str">
        <x:v>B-ENE-01</x:v>
      </x:c>
      <x:c r="B51" s="20" t="str">
        <x:v>Energy &amp; Utilities</x:v>
      </x:c>
      <x:c r="C51" s="20" t="str">
        <x:v>Operations</x:v>
      </x:c>
      <x:c r="D51" s="21" t="str">
        <x:v>Generation, network, storage and control-system dependencies</x:v>
      </x:c>
      <x:c r="E51" s="21" t="str">
        <x:v>Maps critical infrastructure failure pathways.</x:v>
      </x:c>
      <x:c r="F51" s="22" t="str">
        <x:v>To Confirm</x:v>
      </x:c>
      <x:c r="G51" s="22" t="str">
        <x:v>Required</x:v>
      </x:c>
      <x:c r="H51" s="22" t="str"/>
      <x:c r="I51" s="22" t="str"/>
      <x:c r="J51" s="22" t="str"/>
      <x:c r="K51" s="22" t="str">
        <x:v>Manual entry</x:v>
      </x:c>
      <x:c r="L51" s="22" t="str">
        <x:v>Unknown</x:v>
      </x:c>
      <x:c r="M51" s="22" t="str"/>
      <x:c r="N51" s="23" t="str">
        <x:f>IF(D51="","Open",IF(F51="Not Applicable","N/A",IF(OR(H51="",H51="To be confirmed"),IF(G51="Required","Input required","Open"),IF(AND(G51="Required",I51=""),"Evidence needed","Complete"))))</x:f>
        <x:v>Input required</x:v>
      </x:c>
      <x:c r="O51" s="21" t="str"/>
    </x:row>
    <x:row r="52" ht="24" hidden="0" customHeight="1">
      <x:c r="A52" s="20" t="str">
        <x:v>B-ENE-02</x:v>
      </x:c>
      <x:c r="B52" s="20" t="str">
        <x:v>Energy &amp; Utilities</x:v>
      </x:c>
      <x:c r="C52" s="20" t="str">
        <x:v>Capital</x:v>
      </x:c>
      <x:c r="D52" s="21" t="str">
        <x:v>Capital programme, asset integrity and decommissioning obligations</x:v>
      </x:c>
      <x:c r="E52" s="21" t="str">
        <x:v>Models long-duration funding and liability needs.</x:v>
      </x:c>
      <x:c r="F52" s="22" t="str">
        <x:v>To Confirm</x:v>
      </x:c>
      <x:c r="G52" s="22" t="str">
        <x:v>Required</x:v>
      </x:c>
      <x:c r="H52" s="22" t="str"/>
      <x:c r="I52" s="22" t="str"/>
      <x:c r="J52" s="22" t="str"/>
      <x:c r="K52" s="22" t="str">
        <x:v>Manual entry</x:v>
      </x:c>
      <x:c r="L52" s="22" t="str">
        <x:v>Unknown</x:v>
      </x:c>
      <x:c r="M52" s="22" t="str"/>
      <x:c r="N52" s="23" t="str">
        <x:f>IF(D52="","Open",IF(F52="Not Applicable","N/A",IF(OR(H52="",H52="To be confirmed"),IF(G52="Required","Input required","Open"),IF(AND(G52="Required",I52=""),"Evidence needed","Complete"))))</x:f>
        <x:v>Input required</x:v>
      </x:c>
      <x:c r="O52" s="21" t="str"/>
    </x:row>
    <x:row r="53" ht="15" hidden="0" customHeight="1">
      <x:c r="A53" s="20" t="str">
        <x:v>B-ENE-03</x:v>
      </x:c>
      <x:c r="B53" s="20" t="str">
        <x:v>Energy &amp; Utilities</x:v>
      </x:c>
      <x:c r="C53" s="20" t="str">
        <x:v>Liquidity</x:v>
      </x:c>
      <x:c r="D53" s="21" t="str">
        <x:v>Commodity price, margining and collateral requirements</x:v>
      </x:c>
      <x:c r="E53" s="21" t="str">
        <x:v>Captures market-driven liquidity calls.</x:v>
      </x:c>
      <x:c r="F53" s="22" t="str">
        <x:v>To Confirm</x:v>
      </x:c>
      <x:c r="G53" s="22" t="str">
        <x:v>Required</x:v>
      </x:c>
      <x:c r="H53" s="22" t="str"/>
      <x:c r="I53" s="22" t="str"/>
      <x:c r="J53" s="22" t="str"/>
      <x:c r="K53" s="22" t="str">
        <x:v>Manual entry</x:v>
      </x:c>
      <x:c r="L53" s="22" t="str">
        <x:v>Unknown</x:v>
      </x:c>
      <x:c r="M53" s="22" t="str"/>
      <x:c r="N53" s="23" t="str">
        <x:f>IF(D53="","Open",IF(F53="Not Applicable","N/A",IF(OR(H53="",H53="To be confirmed"),IF(G53="Required","Input required","Open"),IF(AND(G53="Required",I53=""),"Evidence needed","Complete"))))</x:f>
        <x:v>Input required</x:v>
      </x:c>
      <x:c r="O53" s="21" t="str"/>
    </x:row>
    <x:row r="54" ht="24" hidden="0" customHeight="1">
      <x:c r="A54" s="20" t="str">
        <x:v>B-ENE-04</x:v>
      </x:c>
      <x:c r="B54" s="20" t="str">
        <x:v>Energy &amp; Utilities</x:v>
      </x:c>
      <x:c r="C54" s="20" t="str">
        <x:v>Regulation</x:v>
      </x:c>
      <x:c r="D54" s="21" t="str">
        <x:v>Tariff, environmental, reliability and market-code obligations</x:v>
      </x:c>
      <x:c r="E54" s="21" t="str">
        <x:v>Defines regulatory revenue and operating constraints.</x:v>
      </x:c>
      <x:c r="F54" s="22" t="str">
        <x:v>To Confirm</x:v>
      </x:c>
      <x:c r="G54" s="22" t="str">
        <x:v>Required</x:v>
      </x:c>
      <x:c r="H54" s="22" t="str"/>
      <x:c r="I54" s="22" t="str"/>
      <x:c r="J54" s="22" t="str"/>
      <x:c r="K54" s="22" t="str">
        <x:v>Manual entry</x:v>
      </x:c>
      <x:c r="L54" s="22" t="str">
        <x:v>Unknown</x:v>
      </x:c>
      <x:c r="M54" s="22" t="str"/>
      <x:c r="N54" s="23" t="str">
        <x:f>IF(D54="","Open",IF(F54="Not Applicable","N/A",IF(OR(H54="",H54="To be confirmed"),IF(G54="Required","Input required","Open"),IF(AND(G54="Required",I54=""),"Evidence needed","Complete"))))</x:f>
        <x:v>Input required</x:v>
      </x:c>
      <x:c r="O54" s="21" t="str"/>
    </x:row>
    <x:row r="55" ht="15" hidden="0" customHeight="1">
      <x:c r="A55" s="20" t="str">
        <x:v>B-ENE-05</x:v>
      </x:c>
      <x:c r="B55" s="20" t="str">
        <x:v>Energy &amp; Utilities</x:v>
      </x:c>
      <x:c r="C55" s="20" t="str">
        <x:v>Countries &amp; Corridors</x:v>
      </x:c>
      <x:c r="D55" s="21" t="str">
        <x:v>Fuel, interconnector and commodity-supply corridors</x:v>
      </x:c>
      <x:c r="E55" s="21" t="str">
        <x:v>Models geopolitical and supply concentration.</x:v>
      </x:c>
      <x:c r="F55" s="22" t="str">
        <x:v>To Confirm</x:v>
      </x:c>
      <x:c r="G55" s="22" t="str">
        <x:v>Required</x:v>
      </x:c>
      <x:c r="H55" s="22" t="str"/>
      <x:c r="I55" s="22" t="str"/>
      <x:c r="J55" s="22" t="str"/>
      <x:c r="K55" s="22" t="str">
        <x:v>Manual entry</x:v>
      </x:c>
      <x:c r="L55" s="22" t="str">
        <x:v>Unknown</x:v>
      </x:c>
      <x:c r="M55" s="22" t="str"/>
      <x:c r="N55" s="23" t="str">
        <x:f>IF(D55="","Open",IF(F55="Not Applicable","N/A",IF(OR(H55="",H55="To be confirmed"),IF(G55="Required","Input required","Open"),IF(AND(G55="Required",I55=""),"Evidence needed","Complete"))))</x:f>
        <x:v>Input required</x:v>
      </x:c>
      <x:c r="O55" s="21" t="str"/>
    </x:row>
    <x:row r="56" ht="24" hidden="0" customHeight="1">
      <x:c r="A56" s="20" t="str">
        <x:v>B-PSV-01</x:v>
      </x:c>
      <x:c r="B56" s="20" t="str">
        <x:v>Professional Services</x:v>
      </x:c>
      <x:c r="C56" s="20" t="str">
        <x:v>Operations</x:v>
      </x:c>
      <x:c r="D56" s="21" t="str">
        <x:v>Billable capacity, utilisation and specialist skill concentration</x:v>
      </x:c>
      <x:c r="E56" s="21" t="str">
        <x:v>Models delivery capacity and key-person risk.</x:v>
      </x:c>
      <x:c r="F56" s="22" t="str">
        <x:v>To Confirm</x:v>
      </x:c>
      <x:c r="G56" s="22" t="str">
        <x:v>Required</x:v>
      </x:c>
      <x:c r="H56" s="22" t="str"/>
      <x:c r="I56" s="22" t="str"/>
      <x:c r="J56" s="22" t="str"/>
      <x:c r="K56" s="22" t="str">
        <x:v>Manual entry</x:v>
      </x:c>
      <x:c r="L56" s="22" t="str">
        <x:v>Unknown</x:v>
      </x:c>
      <x:c r="M56" s="22" t="str"/>
      <x:c r="N56" s="23" t="str">
        <x:f>IF(D56="","Open",IF(F56="Not Applicable","N/A",IF(OR(H56="",H56="To be confirmed"),IF(G56="Required","Input required","Open"),IF(AND(G56="Required",I56=""),"Evidence needed","Complete"))))</x:f>
        <x:v>Input required</x:v>
      </x:c>
      <x:c r="O56" s="21" t="str"/>
    </x:row>
    <x:row r="57" ht="15" hidden="0" customHeight="1">
      <x:c r="A57" s="20" t="str">
        <x:v>B-PSV-02</x:v>
      </x:c>
      <x:c r="B57" s="20" t="str">
        <x:v>Professional Services</x:v>
      </x:c>
      <x:c r="C57" s="20" t="str">
        <x:v>Liquidity</x:v>
      </x:c>
      <x:c r="D57" s="21" t="str">
        <x:v>Work-in-progress, billing and collection cycle</x:v>
      </x:c>
      <x:c r="E57" s="21" t="str">
        <x:v>Calibrates cash conversion.</x:v>
      </x:c>
      <x:c r="F57" s="22" t="str">
        <x:v>To Confirm</x:v>
      </x:c>
      <x:c r="G57" s="22" t="str">
        <x:v>Required</x:v>
      </x:c>
      <x:c r="H57" s="22" t="str"/>
      <x:c r="I57" s="22" t="str"/>
      <x:c r="J57" s="22" t="str"/>
      <x:c r="K57" s="22" t="str">
        <x:v>Manual entry</x:v>
      </x:c>
      <x:c r="L57" s="22" t="str">
        <x:v>Unknown</x:v>
      </x:c>
      <x:c r="M57" s="22" t="str"/>
      <x:c r="N57" s="23" t="str">
        <x:f>IF(D57="","Open",IF(F57="Not Applicable","N/A",IF(OR(H57="",H57="To be confirmed"),IF(G57="Required","Input required","Open"),IF(AND(G57="Required",I57=""),"Evidence needed","Complete"))))</x:f>
        <x:v>Input required</x:v>
      </x:c>
      <x:c r="O57" s="21" t="str"/>
    </x:row>
    <x:row r="58" ht="15" hidden="0" customHeight="1">
      <x:c r="A58" s="20" t="str">
        <x:v>B-PSV-03</x:v>
      </x:c>
      <x:c r="B58" s="20" t="str">
        <x:v>Professional Services</x:v>
      </x:c>
      <x:c r="C58" s="20" t="str">
        <x:v>Merchants</x:v>
      </x:c>
      <x:c r="D58" s="21" t="str">
        <x:v>Top-client and framework-contract concentration</x:v>
      </x:c>
      <x:c r="E58" s="21" t="str">
        <x:v>Identifies revenue dependency.</x:v>
      </x:c>
      <x:c r="F58" s="22" t="str">
        <x:v>To Confirm</x:v>
      </x:c>
      <x:c r="G58" s="22" t="str">
        <x:v>Required</x:v>
      </x:c>
      <x:c r="H58" s="22" t="str"/>
      <x:c r="I58" s="22" t="str"/>
      <x:c r="J58" s="22" t="str"/>
      <x:c r="K58" s="22" t="str">
        <x:v>Manual entry</x:v>
      </x:c>
      <x:c r="L58" s="22" t="str">
        <x:v>Unknown</x:v>
      </x:c>
      <x:c r="M58" s="22" t="str"/>
      <x:c r="N58" s="23" t="str">
        <x:f>IF(D58="","Open",IF(F58="Not Applicable","N/A",IF(OR(H58="",H58="To be confirmed"),IF(G58="Required","Input required","Open"),IF(AND(G58="Required",I58=""),"Evidence needed","Complete"))))</x:f>
        <x:v>Input required</x:v>
      </x:c>
      <x:c r="O58" s="21" t="str"/>
    </x:row>
    <x:row r="59" ht="24" hidden="0" customHeight="1">
      <x:c r="A59" s="20" t="str">
        <x:v>B-PSV-04</x:v>
      </x:c>
      <x:c r="B59" s="20" t="str">
        <x:v>Professional Services</x:v>
      </x:c>
      <x:c r="C59" s="20" t="str">
        <x:v>Regulation</x:v>
      </x:c>
      <x:c r="D59" s="21" t="str">
        <x:v>Professional privilege, confidentiality and independence duties</x:v>
      </x:c>
      <x:c r="E59" s="21" t="str">
        <x:v>Defines engagement and information barriers.</x:v>
      </x:c>
      <x:c r="F59" s="22" t="str">
        <x:v>To Confirm</x:v>
      </x:c>
      <x:c r="G59" s="22" t="str">
        <x:v>Required</x:v>
      </x:c>
      <x:c r="H59" s="22" t="str"/>
      <x:c r="I59" s="22" t="str"/>
      <x:c r="J59" s="22" t="str"/>
      <x:c r="K59" s="22" t="str">
        <x:v>Manual entry</x:v>
      </x:c>
      <x:c r="L59" s="22" t="str">
        <x:v>Unknown</x:v>
      </x:c>
      <x:c r="M59" s="22" t="str"/>
      <x:c r="N59" s="23" t="str">
        <x:f>IF(D59="","Open",IF(F59="Not Applicable","N/A",IF(OR(H59="",H59="To be confirmed"),IF(G59="Required","Input required","Open"),IF(AND(G59="Required",I59=""),"Evidence needed","Complete"))))</x:f>
        <x:v>Input required</x:v>
      </x:c>
      <x:c r="O59" s="21" t="str"/>
    </x:row>
    <x:row r="60" ht="24" hidden="0" customHeight="1">
      <x:c r="A60" s="20" t="str">
        <x:v>B-PSV-05</x:v>
      </x:c>
      <x:c r="B60" s="20" t="str">
        <x:v>Professional Services</x:v>
      </x:c>
      <x:c r="C60" s="20" t="str">
        <x:v>Operations</x:v>
      </x:c>
      <x:c r="D60" s="21" t="str">
        <x:v>Subcontractor, partner and offshore-delivery dependencies</x:v>
      </x:c>
      <x:c r="E60" s="21" t="str">
        <x:v>Maps external delivery risk.</x:v>
      </x:c>
      <x:c r="F60" s="22" t="str">
        <x:v>To Confirm</x:v>
      </x:c>
      <x:c r="G60" s="22" t="str">
        <x:v>Required</x:v>
      </x:c>
      <x:c r="H60" s="22" t="str"/>
      <x:c r="I60" s="22" t="str"/>
      <x:c r="J60" s="22" t="str"/>
      <x:c r="K60" s="22" t="str">
        <x:v>Manual entry</x:v>
      </x:c>
      <x:c r="L60" s="22" t="str">
        <x:v>Unknown</x:v>
      </x:c>
      <x:c r="M60" s="22" t="str"/>
      <x:c r="N60" s="23" t="str">
        <x:f>IF(D60="","Open",IF(F60="Not Applicable","N/A",IF(OR(H60="",H60="To be confirmed"),IF(G60="Required","Input required","Open"),IF(AND(G60="Required",I60=""),"Evidence needed","Complete"))))</x:f>
        <x:v>Input required</x:v>
      </x:c>
      <x:c r="O60" s="21" t="str"/>
    </x:row>
    <x:row r="61" ht="24" hidden="0" customHeight="1">
      <x:c r="A61" s="20" t="str">
        <x:v>B-OTH-01</x:v>
      </x:c>
      <x:c r="B61" s="20" t="str">
        <x:v>Other / sector to define</x:v>
      </x:c>
      <x:c r="C61" s="20" t="str">
        <x:v>Operations</x:v>
      </x:c>
      <x:c r="D61" s="21" t="str">
        <x:v>Sector-specific operating cycle and principal failure modes</x:v>
      </x:c>
      <x:c r="E61" s="21" t="str">
        <x:v>Creates the first sector-specific model hypothesis.</x:v>
      </x:c>
      <x:c r="F61" s="22" t="str">
        <x:v>To Confirm</x:v>
      </x:c>
      <x:c r="G61" s="22" t="str">
        <x:v>Required</x:v>
      </x:c>
      <x:c r="H61" s="22" t="str"/>
      <x:c r="I61" s="22" t="str"/>
      <x:c r="J61" s="22" t="str"/>
      <x:c r="K61" s="22" t="str">
        <x:v>Manual entry</x:v>
      </x:c>
      <x:c r="L61" s="22" t="str">
        <x:v>Unknown</x:v>
      </x:c>
      <x:c r="M61" s="22" t="str"/>
      <x:c r="N61" s="23" t="str">
        <x:f>IF(D61="","Open",IF(F61="Not Applicable","N/A",IF(OR(H61="",H61="To be confirmed"),IF(G61="Required","Input required","Open"),IF(AND(G61="Required",I61=""),"Evidence needed","Complete"))))</x:f>
        <x:v>Input required</x:v>
      </x:c>
      <x:c r="O61" s="21" t="str"/>
    </x:row>
    <x:row r="62" ht="15" hidden="0" customHeight="1">
      <x:c r="A62" s="20" t="str">
        <x:v>B-OTH-02</x:v>
      </x:c>
      <x:c r="B62" s="20" t="str">
        <x:v>Other / sector to define</x:v>
      </x:c>
      <x:c r="C62" s="20" t="str">
        <x:v>Regulation</x:v>
      </x:c>
      <x:c r="D62" s="21" t="str">
        <x:v>Sector regulator, licences and mandatory reporting</x:v>
      </x:c>
      <x:c r="E62" s="21" t="str">
        <x:v>Establishes the local regulatory perimeter.</x:v>
      </x:c>
      <x:c r="F62" s="22" t="str">
        <x:v>To Confirm</x:v>
      </x:c>
      <x:c r="G62" s="22" t="str">
        <x:v>Required</x:v>
      </x:c>
      <x:c r="H62" s="22" t="str"/>
      <x:c r="I62" s="22" t="str"/>
      <x:c r="J62" s="22" t="str"/>
      <x:c r="K62" s="22" t="str">
        <x:v>Manual entry</x:v>
      </x:c>
      <x:c r="L62" s="22" t="str">
        <x:v>Unknown</x:v>
      </x:c>
      <x:c r="M62" s="22" t="str"/>
      <x:c r="N62" s="23" t="str">
        <x:f>IF(D62="","Open",IF(F62="Not Applicable","N/A",IF(OR(H62="",H62="To be confirmed"),IF(G62="Required","Input required","Open"),IF(AND(G62="Required",I62=""),"Evidence needed","Complete"))))</x:f>
        <x:v>Input required</x:v>
      </x:c>
      <x:c r="O62" s="21" t="str"/>
    </x:row>
    <x:row r="63" ht="24" hidden="0" customHeight="1">
      <x:c r="A63" s="20" t="str">
        <x:v>B-OTH-03</x:v>
      </x:c>
      <x:c r="B63" s="20" t="str">
        <x:v>Other / sector to define</x:v>
      </x:c>
      <x:c r="C63" s="20" t="str">
        <x:v>Capital</x:v>
      </x:c>
      <x:c r="D63" s="21" t="str">
        <x:v>Sector-specific capital intensity and loss-absorption requirements</x:v>
      </x:c>
      <x:c r="E63" s="21" t="str">
        <x:v>Adapts capital modelling to the business.</x:v>
      </x:c>
      <x:c r="F63" s="22" t="str">
        <x:v>To Confirm</x:v>
      </x:c>
      <x:c r="G63" s="22" t="str">
        <x:v>Required</x:v>
      </x:c>
      <x:c r="H63" s="22" t="str"/>
      <x:c r="I63" s="22" t="str"/>
      <x:c r="J63" s="22" t="str"/>
      <x:c r="K63" s="22" t="str">
        <x:v>Manual entry</x:v>
      </x:c>
      <x:c r="L63" s="22" t="str">
        <x:v>Unknown</x:v>
      </x:c>
      <x:c r="M63" s="22" t="str"/>
      <x:c r="N63" s="23" t="str">
        <x:f>IF(D63="","Open",IF(F63="Not Applicable","N/A",IF(OR(H63="",H63="To be confirmed"),IF(G63="Required","Input required","Open"),IF(AND(G63="Required",I63=""),"Evidence needed","Complete"))))</x:f>
        <x:v>Input required</x:v>
      </x:c>
      <x:c r="O63" s="21" t="str"/>
    </x:row>
    <x:row r="64" ht="15" hidden="0" customHeight="1">
      <x:c r="A64" s="20" t="str">
        <x:v>B-OTH-04</x:v>
      </x:c>
      <x:c r="B64" s="20" t="str">
        <x:v>Other / sector to define</x:v>
      </x:c>
      <x:c r="C64" s="20" t="str">
        <x:v>Liquidity</x:v>
      </x:c>
      <x:c r="D64" s="21" t="str">
        <x:v>Sector-specific cash cycle and contingent funding needs</x:v>
      </x:c>
      <x:c r="E64" s="21" t="str">
        <x:v>Adapts liquidity modelling to the business.</x:v>
      </x:c>
      <x:c r="F64" s="22" t="str">
        <x:v>To Confirm</x:v>
      </x:c>
      <x:c r="G64" s="22" t="str">
        <x:v>Required</x:v>
      </x:c>
      <x:c r="H64" s="22" t="str"/>
      <x:c r="I64" s="22" t="str"/>
      <x:c r="J64" s="22" t="str"/>
      <x:c r="K64" s="22" t="str">
        <x:v>Manual entry</x:v>
      </x:c>
      <x:c r="L64" s="22" t="str">
        <x:v>Unknown</x:v>
      </x:c>
      <x:c r="M64" s="22" t="str"/>
      <x:c r="N64" s="23" t="str">
        <x:f>IF(D64="","Open",IF(F64="Not Applicable","N/A",IF(OR(H64="",H64="To be confirmed"),IF(G64="Required","Input required","Open"),IF(AND(G64="Required",I64=""),"Evidence needed","Complete"))))</x:f>
        <x:v>Input required</x:v>
      </x:c>
      <x:c r="O64" s="21" t="str"/>
    </x:row>
  </x:sheetData>
  <x:conditionalFormatting sqref="N7:N64">
    <x:cfRule type="containsText" dxfId="3" priority="1" operator="containsText" text="Complete"/>
    <x:cfRule type="containsText" dxfId="4" priority="2" operator="containsText" text="Input required"/>
    <x:cfRule type="containsText" dxfId="5" priority="3" operator="containsText" text="Evidence needed"/>
  </x:conditionalFormatting>
  <x:dataValidations count="4">
    <x:dataValidation type="list" sqref="F7:F64">
      <x:formula1>"Applicable,Not Applicable,To Confirm"</x:formula1>
    </x:dataValidation>
    <x:dataValidation type="list" sqref="G7:G64">
      <x:formula1>"Required,Optional,To Confirm"</x:formula1>
    </x:dataValidation>
    <x:dataValidation type="list" sqref="K7:K64">
      <x:formula1>"Manual entry,API read-only,Secure file transfer,Database read replica,Portal export,Evidence upload,Not collected"</x:formula1>
    </x:dataValidation>
    <x:dataValidation type="list" sqref="L7:L64">
      <x:formula1>"No,Yes,Sensitive,Unknown"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2ba1ca46bf4225"/>
  </x:tableParts>
</x:worksheet>
</file>

<file path=xl/worksheets/sheet4.xml><?xml version="1.0" encoding="utf-8"?>
<x:worksheet xmlns:x="http://schemas.openxmlformats.org/spreadsheetml/2006/main">
  <x:sheetPr>
    <x:tabColor rgb="FFF7C5AB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18" hidden="0" customWidth="1"/>
    <x:col min="4" max="4" width="43" hidden="0" customWidth="1"/>
    <x:col min="5" max="5" width="36" hidden="0" customWidth="1"/>
    <x:col min="6" max="6" width="16" hidden="0" customWidth="1"/>
    <x:col min="7" max="7" width="13" hidden="0" customWidth="1"/>
    <x:col min="8" max="8" width="32" hidden="0" customWidth="1"/>
    <x:col min="9" max="9" width="28" hidden="0" customWidth="1"/>
    <x:col min="10" max="10" width="22" hidden="0" customWidth="1"/>
    <x:col min="11" max="11" width="23" hidden="0" customWidth="1"/>
    <x:col min="12" max="12" width="15" hidden="0" customWidth="1"/>
    <x:col min="13" max="13" width="22" hidden="0" customWidth="1"/>
    <x:col min="14" max="14" width="17" hidden="0" customWidth="1"/>
    <x:col min="15" max="15" width="30" hidden="0" customWidth="1"/>
  </x:cols>
  <x:sheetData>
    <x:row r="2" ht="22" customHeight="1">
      <x:c r="A2" s="3" t="str">
        <x:v>Section C. Enterprise-unique factors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2" customHeight="1">
      <x:c r="A3" s="2" t="str">
        <x:v>Capture characteristics, obligations and dependencies that are unique to the enterprise and absent from the universal and industry sections.</x:v>
      </x:c>
    </x:row>
    <x:row r="6" ht="34" customHeight="1">
      <x:c r="A6" s="11" t="str">
        <x:v>Factor ID</x:v>
      </x:c>
      <x:c r="B6" s="11" t="str">
        <x:v>Classification</x:v>
      </x:c>
      <x:c r="C6" s="11" t="str">
        <x:v>Primary control</x:v>
      </x:c>
      <x:c r="D6" s="11" t="str">
        <x:v>Onboarding factor or question</x:v>
      </x:c>
      <x:c r="E6" s="11" t="str">
        <x:v>Why it matters</x:v>
      </x:c>
      <x:c r="F6" s="11" t="str">
        <x:v>Applicability</x:v>
      </x:c>
      <x:c r="G6" s="11" t="str">
        <x:v>Required</x:v>
      </x:c>
      <x:c r="H6" s="11" t="str">
        <x:v>Client response</x:v>
      </x:c>
      <x:c r="I6" s="11" t="str">
        <x:v>Evidence or source</x:v>
      </x:c>
      <x:c r="J6" s="11" t="str">
        <x:v>Data owner</x:v>
      </x:c>
      <x:c r="K6" s="11" t="str">
        <x:v>Online collection method</x:v>
      </x:c>
      <x:c r="L6" s="11" t="str">
        <x:v>Personal data</x:v>
      </x:c>
      <x:c r="M6" s="11" t="str">
        <x:v>Jurisdiction(s)</x:v>
      </x:c>
      <x:c r="N6" s="11" t="str">
        <x:v>Status</x:v>
      </x:c>
      <x:c r="O6" s="11" t="str">
        <x:v>Consultant notes</x:v>
      </x:c>
    </x:row>
    <x:row r="7" ht="24" hidden="0" customHeight="1">
      <x:c r="A7" s="16" t="str">
        <x:v>C-001</x:v>
      </x:c>
      <x:c r="B7" s="16" t="str">
        <x:v>Business model</x:v>
      </x:c>
      <x:c r="C7" s="16" t="str">
        <x:v>Operations</x:v>
      </x:c>
      <x:c r="D7" s="17" t="str">
        <x:v>Enterprise-specific revenue mechanism or fee logic</x:v>
      </x:c>
      <x:c r="E7" s="17" t="str">
        <x:v>Captures economics not represented by the industry template.</x:v>
      </x:c>
      <x:c r="F7" s="18" t="str">
        <x:v>To Confirm</x:v>
      </x:c>
      <x:c r="G7" s="18" t="str">
        <x:v>To Confirm</x:v>
      </x:c>
      <x:c r="H7" s="18" t="str"/>
      <x:c r="I7" s="18" t="str"/>
      <x:c r="J7" s="18" t="str"/>
      <x:c r="K7" s="18" t="str">
        <x:v>Manual entry</x:v>
      </x:c>
      <x:c r="L7" s="18" t="str">
        <x:v>Unknown</x:v>
      </x:c>
      <x:c r="M7" s="18" t="str"/>
      <x:c r="N7" s="19" t="str">
        <x:f>IF(D7="","Open",IF(F7="Not Applicable","N/A",IF(OR(H7="",H7="To be confirmed"),IF(G7="Required","Input required","Open"),IF(AND(G7="Required",I7=""),"Evidence needed","Complete"))))</x:f>
        <x:v>Open</x:v>
      </x:c>
      <x:c r="O7" s="17" t="str"/>
    </x:row>
    <x:row r="8" ht="24" hidden="0" customHeight="1">
      <x:c r="A8" s="20" t="str">
        <x:v>C-002</x:v>
      </x:c>
      <x:c r="B8" s="20" t="str">
        <x:v>Business model</x:v>
      </x:c>
      <x:c r="C8" s="20" t="str">
        <x:v>Capital</x:v>
      </x:c>
      <x:c r="D8" s="21" t="str">
        <x:v>Unusual ownership, capital or profit-distribution arrangement</x:v>
      </x:c>
      <x:c r="E8" s="21" t="str">
        <x:v>Captures enterprise-specific capital constraints.</x:v>
      </x:c>
      <x:c r="F8" s="22" t="str">
        <x:v>To Confirm</x:v>
      </x:c>
      <x:c r="G8" s="22" t="str">
        <x:v>To Confirm</x:v>
      </x:c>
      <x:c r="H8" s="22" t="str"/>
      <x:c r="I8" s="22" t="str"/>
      <x:c r="J8" s="22" t="str"/>
      <x:c r="K8" s="22" t="str">
        <x:v>Manual entry</x:v>
      </x:c>
      <x:c r="L8" s="22" t="str">
        <x:v>Unknown</x:v>
      </x:c>
      <x:c r="M8" s="22" t="str"/>
      <x:c r="N8" s="23" t="str">
        <x:f>IF(D8="","Open",IF(F8="Not Applicable","N/A",IF(OR(H8="",H8="To be confirmed"),IF(G8="Required","Input required","Open"),IF(AND(G8="Required",I8=""),"Evidence needed","Complete"))))</x:f>
        <x:v>Open</x:v>
      </x:c>
      <x:c r="O8" s="21" t="str"/>
    </x:row>
    <x:row r="9" ht="24" hidden="0" customHeight="1">
      <x:c r="A9" s="20" t="str">
        <x:v>C-003</x:v>
      </x:c>
      <x:c r="B9" s="20" t="str">
        <x:v>Funding</x:v>
      </x:c>
      <x:c r="C9" s="20" t="str">
        <x:v>Liquidity</x:v>
      </x:c>
      <x:c r="D9" s="21" t="str">
        <x:v>Unique funding source, treasury arrangement or cash restriction</x:v>
      </x:c>
      <x:c r="E9" s="21" t="str">
        <x:v>Captures liquidity features not covered by standard fields.</x:v>
      </x:c>
      <x:c r="F9" s="22" t="str">
        <x:v>To Confirm</x:v>
      </x:c>
      <x:c r="G9" s="22" t="str">
        <x:v>To Confirm</x:v>
      </x:c>
      <x:c r="H9" s="22" t="str"/>
      <x:c r="I9" s="22" t="str"/>
      <x:c r="J9" s="22" t="str"/>
      <x:c r="K9" s="22" t="str">
        <x:v>Manual entry</x:v>
      </x:c>
      <x:c r="L9" s="22" t="str">
        <x:v>Unknown</x:v>
      </x:c>
      <x:c r="M9" s="22" t="str"/>
      <x:c r="N9" s="23" t="str">
        <x:f>IF(D9="","Open",IF(F9="Not Applicable","N/A",IF(OR(H9="",H9="To be confirmed"),IF(G9="Required","Input required","Open"),IF(AND(G9="Required",I9=""),"Evidence needed","Complete"))))</x:f>
        <x:v>Open</x:v>
      </x:c>
      <x:c r="O9" s="21" t="str"/>
    </x:row>
    <x:row r="10" ht="24" hidden="0" customHeight="1">
      <x:c r="A10" s="20" t="str">
        <x:v>C-004</x:v>
      </x:c>
      <x:c r="B10" s="20" t="str">
        <x:v>Process</x:v>
      </x:c>
      <x:c r="C10" s="20" t="str">
        <x:v>Operations</x:v>
      </x:c>
      <x:c r="D10" s="21" t="str">
        <x:v>Proprietary or non-standard critical process</x:v>
      </x:c>
      <x:c r="E10" s="21" t="str">
        <x:v>Adds enterprise-specific failure and recovery pathways.</x:v>
      </x:c>
      <x:c r="F10" s="22" t="str">
        <x:v>To Confirm</x:v>
      </x:c>
      <x:c r="G10" s="22" t="str">
        <x:v>To Confirm</x:v>
      </x:c>
      <x:c r="H10" s="22" t="str"/>
      <x:c r="I10" s="22" t="str"/>
      <x:c r="J10" s="22" t="str"/>
      <x:c r="K10" s="22" t="str">
        <x:v>Manual entry</x:v>
      </x:c>
      <x:c r="L10" s="22" t="str">
        <x:v>Unknown</x:v>
      </x:c>
      <x:c r="M10" s="22" t="str"/>
      <x:c r="N10" s="23" t="str">
        <x:f>IF(D10="","Open",IF(F10="Not Applicable","N/A",IF(OR(H10="",H10="To be confirmed"),IF(G10="Required","Input required","Open"),IF(AND(G10="Required",I10=""),"Evidence needed","Complete"))))</x:f>
        <x:v>Open</x:v>
      </x:c>
      <x:c r="O10" s="21" t="str"/>
    </x:row>
    <x:row r="11" ht="24" hidden="0" customHeight="1">
      <x:c r="A11" s="20" t="str">
        <x:v>C-005</x:v>
      </x:c>
      <x:c r="B11" s="20" t="str">
        <x:v>Technology</x:v>
      </x:c>
      <x:c r="C11" s="20" t="str">
        <x:v>Operations</x:v>
      </x:c>
      <x:c r="D11" s="21" t="str">
        <x:v>Legacy, bespoke or unsupported system dependency</x:v>
      </x:c>
      <x:c r="E11" s="21" t="str">
        <x:v>Captures technology concentration or obsolescence.</x:v>
      </x:c>
      <x:c r="F11" s="22" t="str">
        <x:v>To Confirm</x:v>
      </x:c>
      <x:c r="G11" s="22" t="str">
        <x:v>To Confirm</x:v>
      </x:c>
      <x:c r="H11" s="22" t="str"/>
      <x:c r="I11" s="22" t="str"/>
      <x:c r="J11" s="22" t="str"/>
      <x:c r="K11" s="22" t="str">
        <x:v>Manual entry</x:v>
      </x:c>
      <x:c r="L11" s="22" t="str">
        <x:v>Unknown</x:v>
      </x:c>
      <x:c r="M11" s="22" t="str"/>
      <x:c r="N11" s="23" t="str">
        <x:f>IF(D11="","Open",IF(F11="Not Applicable","N/A",IF(OR(H11="",H11="To be confirmed"),IF(G11="Required","Input required","Open"),IF(AND(G11="Required",I11=""),"Evidence needed","Complete"))))</x:f>
        <x:v>Open</x:v>
      </x:c>
      <x:c r="O11" s="21" t="str"/>
    </x:row>
    <x:row r="12" ht="24" hidden="0" customHeight="1">
      <x:c r="A12" s="20" t="str">
        <x:v>C-006</x:v>
      </x:c>
      <x:c r="B12" s="20" t="str">
        <x:v>People</x:v>
      </x:c>
      <x:c r="C12" s="20" t="str">
        <x:v>Operations</x:v>
      </x:c>
      <x:c r="D12" s="21" t="str">
        <x:v>Founder, key-person or scarce-skill dependency</x:v>
      </x:c>
      <x:c r="E12" s="21" t="str">
        <x:v>Models enterprise-specific people concentration.</x:v>
      </x:c>
      <x:c r="F12" s="22" t="str">
        <x:v>To Confirm</x:v>
      </x:c>
      <x:c r="G12" s="22" t="str">
        <x:v>To Confirm</x:v>
      </x:c>
      <x:c r="H12" s="22" t="str"/>
      <x:c r="I12" s="22" t="str"/>
      <x:c r="J12" s="22" t="str"/>
      <x:c r="K12" s="22" t="str">
        <x:v>Manual entry</x:v>
      </x:c>
      <x:c r="L12" s="22" t="str">
        <x:v>Unknown</x:v>
      </x:c>
      <x:c r="M12" s="22" t="str"/>
      <x:c r="N12" s="23" t="str">
        <x:f>IF(D12="","Open",IF(F12="Not Applicable","N/A",IF(OR(H12="",H12="To be confirmed"),IF(G12="Required","Input required","Open"),IF(AND(G12="Required",I12=""),"Evidence needed","Complete"))))</x:f>
        <x:v>Open</x:v>
      </x:c>
      <x:c r="O12" s="21" t="str"/>
    </x:row>
    <x:row r="13" ht="24" hidden="0" customHeight="1">
      <x:c r="A13" s="20" t="str">
        <x:v>C-007</x:v>
      </x:c>
      <x:c r="B13" s="20" t="str">
        <x:v>Third party</x:v>
      </x:c>
      <x:c r="C13" s="20" t="str">
        <x:v>Operations</x:v>
      </x:c>
      <x:c r="D13" s="21" t="str">
        <x:v>Unique strategic partner, platform or outsourced service</x:v>
      </x:c>
      <x:c r="E13" s="21" t="str">
        <x:v>Captures dependencies outside the standard vendor map.</x:v>
      </x:c>
      <x:c r="F13" s="22" t="str">
        <x:v>To Confirm</x:v>
      </x:c>
      <x:c r="G13" s="22" t="str">
        <x:v>To Confirm</x:v>
      </x:c>
      <x:c r="H13" s="22" t="str"/>
      <x:c r="I13" s="22" t="str"/>
      <x:c r="J13" s="22" t="str"/>
      <x:c r="K13" s="22" t="str">
        <x:v>Manual entry</x:v>
      </x:c>
      <x:c r="L13" s="22" t="str">
        <x:v>Unknown</x:v>
      </x:c>
      <x:c r="M13" s="22" t="str"/>
      <x:c r="N13" s="23" t="str">
        <x:f>IF(D13="","Open",IF(F13="Not Applicable","N/A",IF(OR(H13="",H13="To be confirmed"),IF(G13="Required","Input required","Open"),IF(AND(G13="Required",I13=""),"Evidence needed","Complete"))))</x:f>
        <x:v>Open</x:v>
      </x:c>
      <x:c r="O13" s="21" t="str"/>
    </x:row>
    <x:row r="14" ht="15" hidden="0" customHeight="1">
      <x:c r="A14" s="20" t="str">
        <x:v>C-008</x:v>
      </x:c>
      <x:c r="B14" s="20" t="str">
        <x:v>Contract</x:v>
      </x:c>
      <x:c r="C14" s="20" t="str">
        <x:v>Regulation</x:v>
      </x:c>
      <x:c r="D14" s="21" t="str">
        <x:v>Unusual customer, supplier, financing or licence covenant</x:v>
      </x:c>
      <x:c r="E14" s="21" t="str">
        <x:v>Captures contractual triggers and remedies.</x:v>
      </x:c>
      <x:c r="F14" s="22" t="str">
        <x:v>To Confirm</x:v>
      </x:c>
      <x:c r="G14" s="22" t="str">
        <x:v>To Confirm</x:v>
      </x:c>
      <x:c r="H14" s="22" t="str"/>
      <x:c r="I14" s="22" t="str"/>
      <x:c r="J14" s="22" t="str"/>
      <x:c r="K14" s="22" t="str">
        <x:v>Manual entry</x:v>
      </x:c>
      <x:c r="L14" s="22" t="str">
        <x:v>Unknown</x:v>
      </x:c>
      <x:c r="M14" s="22" t="str"/>
      <x:c r="N14" s="23" t="str">
        <x:f>IF(D14="","Open",IF(F14="Not Applicable","N/A",IF(OR(H14="",H14="To be confirmed"),IF(G14="Required","Input required","Open"),IF(AND(G14="Required",I14=""),"Evidence needed","Complete"))))</x:f>
        <x:v>Open</x:v>
      </x:c>
      <x:c r="O14" s="21" t="str"/>
    </x:row>
    <x:row r="15" ht="24" hidden="0" customHeight="1">
      <x:c r="A15" s="20" t="str">
        <x:v>C-009</x:v>
      </x:c>
      <x:c r="B15" s="20" t="str">
        <x:v>Regulatory</x:v>
      </x:c>
      <x:c r="C15" s="20" t="str">
        <x:v>Regulation</x:v>
      </x:c>
      <x:c r="D15" s="21" t="str">
        <x:v>Enterprise-specific undertaking, consent order or licence condition</x:v>
      </x:c>
      <x:c r="E15" s="21" t="str">
        <x:v>Adds obligations that apply only to this enterprise.</x:v>
      </x:c>
      <x:c r="F15" s="22" t="str">
        <x:v>To Confirm</x:v>
      </x:c>
      <x:c r="G15" s="22" t="str">
        <x:v>To Confirm</x:v>
      </x:c>
      <x:c r="H15" s="22" t="str"/>
      <x:c r="I15" s="22" t="str"/>
      <x:c r="J15" s="22" t="str"/>
      <x:c r="K15" s="22" t="str">
        <x:v>Manual entry</x:v>
      </x:c>
      <x:c r="L15" s="22" t="str">
        <x:v>Unknown</x:v>
      </x:c>
      <x:c r="M15" s="22" t="str"/>
      <x:c r="N15" s="23" t="str">
        <x:f>IF(D15="","Open",IF(F15="Not Applicable","N/A",IF(OR(H15="",H15="To be confirmed"),IF(G15="Required","Input required","Open"),IF(AND(G15="Required",I15=""),"Evidence needed","Complete"))))</x:f>
        <x:v>Open</x:v>
      </x:c>
      <x:c r="O15" s="21" t="str"/>
    </x:row>
    <x:row r="16" ht="15" hidden="0" customHeight="1">
      <x:c r="A16" s="20" t="str">
        <x:v>C-010</x:v>
      </x:c>
      <x:c r="B16" s="20" t="str">
        <x:v>Merchant</x:v>
      </x:c>
      <x:c r="C16" s="20" t="str">
        <x:v>Merchants</x:v>
      </x:c>
      <x:c r="D16" s="21" t="str">
        <x:v>Unique merchant, customer or counterparty risk segment</x:v>
      </x:c>
      <x:c r="E16" s="21" t="str">
        <x:v>Extends the portfolio taxonomy.</x:v>
      </x:c>
      <x:c r="F16" s="22" t="str">
        <x:v>To Confirm</x:v>
      </x:c>
      <x:c r="G16" s="22" t="str">
        <x:v>To Confirm</x:v>
      </x:c>
      <x:c r="H16" s="22" t="str"/>
      <x:c r="I16" s="22" t="str"/>
      <x:c r="J16" s="22" t="str"/>
      <x:c r="K16" s="22" t="str">
        <x:v>Manual entry</x:v>
      </x:c>
      <x:c r="L16" s="22" t="str">
        <x:v>Unknown</x:v>
      </x:c>
      <x:c r="M16" s="22" t="str"/>
      <x:c r="N16" s="23" t="str">
        <x:f>IF(D16="","Open",IF(F16="Not Applicable","N/A",IF(OR(H16="",H16="To be confirmed"),IF(G16="Required","Input required","Open"),IF(AND(G16="Required",I16=""),"Evidence needed","Complete"))))</x:f>
        <x:v>Open</x:v>
      </x:c>
      <x:c r="O16" s="21" t="str"/>
    </x:row>
    <x:row r="17" ht="24" hidden="0" customHeight="1">
      <x:c r="A17" s="20" t="str">
        <x:v>C-011</x:v>
      </x:c>
      <x:c r="B17" s="20" t="str">
        <x:v>Product</x:v>
      </x:c>
      <x:c r="C17" s="20" t="str">
        <x:v>Merchants</x:v>
      </x:c>
      <x:c r="D17" s="21" t="str">
        <x:v>Bespoke product, service or pricing exposure</x:v>
      </x:c>
      <x:c r="E17" s="21" t="str">
        <x:v>Captures product-specific conduct and financial effects.</x:v>
      </x:c>
      <x:c r="F17" s="22" t="str">
        <x:v>To Confirm</x:v>
      </x:c>
      <x:c r="G17" s="22" t="str">
        <x:v>To Confirm</x:v>
      </x:c>
      <x:c r="H17" s="22" t="str"/>
      <x:c r="I17" s="22" t="str"/>
      <x:c r="J17" s="22" t="str"/>
      <x:c r="K17" s="22" t="str">
        <x:v>Manual entry</x:v>
      </x:c>
      <x:c r="L17" s="22" t="str">
        <x:v>Unknown</x:v>
      </x:c>
      <x:c r="M17" s="22" t="str"/>
      <x:c r="N17" s="23" t="str">
        <x:f>IF(D17="","Open",IF(F17="Not Applicable","N/A",IF(OR(H17="",H17="To be confirmed"),IF(G17="Required","Input required","Open"),IF(AND(G17="Required",I17=""),"Evidence needed","Complete"))))</x:f>
        <x:v>Open</x:v>
      </x:c>
      <x:c r="O17" s="21" t="str"/>
    </x:row>
    <x:row r="18" ht="24" hidden="0" customHeight="1">
      <x:c r="A18" s="20" t="str">
        <x:v>C-012</x:v>
      </x:c>
      <x:c r="B18" s="20" t="str">
        <x:v>Corridor</x:v>
      </x:c>
      <x:c r="C18" s="20" t="str">
        <x:v>Countries &amp; Corridors</x:v>
      </x:c>
      <x:c r="D18" s="21" t="str">
        <x:v>Unique country, currency or settlement corridor</x:v>
      </x:c>
      <x:c r="E18" s="21" t="str">
        <x:v>Adds a material corridor absent from the standard matrix.</x:v>
      </x:c>
      <x:c r="F18" s="22" t="str">
        <x:v>To Confirm</x:v>
      </x:c>
      <x:c r="G18" s="22" t="str">
        <x:v>To Confirm</x:v>
      </x:c>
      <x:c r="H18" s="22" t="str"/>
      <x:c r="I18" s="22" t="str"/>
      <x:c r="J18" s="22" t="str"/>
      <x:c r="K18" s="22" t="str">
        <x:v>Manual entry</x:v>
      </x:c>
      <x:c r="L18" s="22" t="str">
        <x:v>Unknown</x:v>
      </x:c>
      <x:c r="M18" s="22" t="str"/>
      <x:c r="N18" s="23" t="str">
        <x:f>IF(D18="","Open",IF(F18="Not Applicable","N/A",IF(OR(H18="",H18="To be confirmed"),IF(G18="Required","Input required","Open"),IF(AND(G18="Required",I18=""),"Evidence needed","Complete"))))</x:f>
        <x:v>Open</x:v>
      </x:c>
      <x:c r="O18" s="21" t="str"/>
    </x:row>
    <x:row r="19" ht="24" hidden="0" customHeight="1">
      <x:c r="A19" s="20" t="str">
        <x:v>C-013</x:v>
      </x:c>
      <x:c r="B19" s="20" t="str">
        <x:v>Geopolitical</x:v>
      </x:c>
      <x:c r="C19" s="20" t="str">
        <x:v>Countries &amp; Corridors</x:v>
      </x:c>
      <x:c r="D19" s="21" t="str">
        <x:v>Enterprise-specific exposure to a government, state entity or sanctioned nexus</x:v>
      </x:c>
      <x:c r="E19" s="21" t="str">
        <x:v>Captures concentrated political and sanctions exposure.</x:v>
      </x:c>
      <x:c r="F19" s="22" t="str">
        <x:v>To Confirm</x:v>
      </x:c>
      <x:c r="G19" s="22" t="str">
        <x:v>To Confirm</x:v>
      </x:c>
      <x:c r="H19" s="22" t="str"/>
      <x:c r="I19" s="22" t="str"/>
      <x:c r="J19" s="22" t="str"/>
      <x:c r="K19" s="22" t="str">
        <x:v>Manual entry</x:v>
      </x:c>
      <x:c r="L19" s="22" t="str">
        <x:v>Unknown</x:v>
      </x:c>
      <x:c r="M19" s="22" t="str"/>
      <x:c r="N19" s="23" t="str">
        <x:f>IF(D19="","Open",IF(F19="Not Applicable","N/A",IF(OR(H19="",H19="To be confirmed"),IF(G19="Required","Input required","Open"),IF(AND(G19="Required",I19=""),"Evidence needed","Complete"))))</x:f>
        <x:v>Open</x:v>
      </x:c>
      <x:c r="O19" s="21" t="str"/>
    </x:row>
    <x:row r="20" ht="24" hidden="0" customHeight="1">
      <x:c r="A20" s="20" t="str">
        <x:v>C-014</x:v>
      </x:c>
      <x:c r="B20" s="20" t="str">
        <x:v>Data</x:v>
      </x:c>
      <x:c r="C20" s="20" t="str">
        <x:v>Operations</x:v>
      </x:c>
      <x:c r="D20" s="21" t="str">
        <x:v>Proprietary dataset, derived feature or data-quality dependency</x:v>
      </x:c>
      <x:c r="E20" s="21" t="str">
        <x:v>Captures model reliance on enterprise-only information.</x:v>
      </x:c>
      <x:c r="F20" s="22" t="str">
        <x:v>To Confirm</x:v>
      </x:c>
      <x:c r="G20" s="22" t="str">
        <x:v>To Confirm</x:v>
      </x:c>
      <x:c r="H20" s="22" t="str"/>
      <x:c r="I20" s="22" t="str"/>
      <x:c r="J20" s="22" t="str"/>
      <x:c r="K20" s="22" t="str">
        <x:v>Manual entry</x:v>
      </x:c>
      <x:c r="L20" s="22" t="str">
        <x:v>Unknown</x:v>
      </x:c>
      <x:c r="M20" s="22" t="str"/>
      <x:c r="N20" s="23" t="str">
        <x:f>IF(D20="","Open",IF(F20="Not Applicable","N/A",IF(OR(H20="",H20="To be confirmed"),IF(G20="Required","Input required","Open"),IF(AND(G20="Required",I20=""),"Evidence needed","Complete"))))</x:f>
        <x:v>Open</x:v>
      </x:c>
      <x:c r="O20" s="21" t="str"/>
    </x:row>
    <x:row r="21" ht="24" hidden="0" customHeight="1">
      <x:c r="A21" s="20" t="str">
        <x:v>C-015</x:v>
      </x:c>
      <x:c r="B21" s="20" t="str">
        <x:v>Privacy</x:v>
      </x:c>
      <x:c r="C21" s="20" t="str">
        <x:v>Regulation</x:v>
      </x:c>
      <x:c r="D21" s="21" t="str">
        <x:v>Unique personal-data category, data subject group or lawful-basis constraint</x:v>
      </x:c>
      <x:c r="E21" s="21" t="str">
        <x:v>Adds privacy obligations not covered by the base agreement.</x:v>
      </x:c>
      <x:c r="F21" s="22" t="str">
        <x:v>To Confirm</x:v>
      </x:c>
      <x:c r="G21" s="22" t="str">
        <x:v>To Confirm</x:v>
      </x:c>
      <x:c r="H21" s="22" t="str"/>
      <x:c r="I21" s="22" t="str"/>
      <x:c r="J21" s="22" t="str"/>
      <x:c r="K21" s="22" t="str">
        <x:v>Manual entry</x:v>
      </x:c>
      <x:c r="L21" s="22" t="str">
        <x:v>Unknown</x:v>
      </x:c>
      <x:c r="M21" s="22" t="str"/>
      <x:c r="N21" s="23" t="str">
        <x:f>IF(D21="","Open",IF(F21="Not Applicable","N/A",IF(OR(H21="",H21="To be confirmed"),IF(G21="Required","Input required","Open"),IF(AND(G21="Required",I21=""),"Evidence needed","Complete"))))</x:f>
        <x:v>Open</x:v>
      </x:c>
      <x:c r="O21" s="21" t="str"/>
    </x:row>
    <x:row r="22" ht="24" hidden="0" customHeight="1">
      <x:c r="A22" s="20" t="str">
        <x:v>C-016</x:v>
      </x:c>
      <x:c r="B22" s="20" t="str">
        <x:v>Security</x:v>
      </x:c>
      <x:c r="C22" s="20" t="str">
        <x:v>Operations</x:v>
      </x:c>
      <x:c r="D22" s="21" t="str">
        <x:v>Enterprise-specific cyber threat, trust boundary or privileged access</x:v>
      </x:c>
      <x:c r="E22" s="21" t="str">
        <x:v>Extends the security and incident model.</x:v>
      </x:c>
      <x:c r="F22" s="22" t="str">
        <x:v>To Confirm</x:v>
      </x:c>
      <x:c r="G22" s="22" t="str">
        <x:v>To Confirm</x:v>
      </x:c>
      <x:c r="H22" s="22" t="str"/>
      <x:c r="I22" s="22" t="str"/>
      <x:c r="J22" s="22" t="str"/>
      <x:c r="K22" s="22" t="str">
        <x:v>Manual entry</x:v>
      </x:c>
      <x:c r="L22" s="22" t="str">
        <x:v>Unknown</x:v>
      </x:c>
      <x:c r="M22" s="22" t="str"/>
      <x:c r="N22" s="23" t="str">
        <x:f>IF(D22="","Open",IF(F22="Not Applicable","N/A",IF(OR(H22="",H22="To be confirmed"),IF(G22="Required","Input required","Open"),IF(AND(G22="Required",I22=""),"Evidence needed","Complete"))))</x:f>
        <x:v>Open</x:v>
      </x:c>
      <x:c r="O22" s="21" t="str"/>
    </x:row>
    <x:row r="23" ht="24" hidden="0" customHeight="1">
      <x:c r="A23" s="20" t="str">
        <x:v>C-017</x:v>
      </x:c>
      <x:c r="B23" s="20" t="str">
        <x:v>Continuity</x:v>
      </x:c>
      <x:c r="C23" s="20" t="str">
        <x:v>Operations</x:v>
      </x:c>
      <x:c r="D23" s="21" t="str">
        <x:v>Unique recovery resource, alternate site or mutual-aid arrangement</x:v>
      </x:c>
      <x:c r="E23" s="21" t="str">
        <x:v>Captures bespoke recovery capacity.</x:v>
      </x:c>
      <x:c r="F23" s="22" t="str">
        <x:v>To Confirm</x:v>
      </x:c>
      <x:c r="G23" s="22" t="str">
        <x:v>To Confirm</x:v>
      </x:c>
      <x:c r="H23" s="22" t="str"/>
      <x:c r="I23" s="22" t="str"/>
      <x:c r="J23" s="22" t="str"/>
      <x:c r="K23" s="22" t="str">
        <x:v>Manual entry</x:v>
      </x:c>
      <x:c r="L23" s="22" t="str">
        <x:v>Unknown</x:v>
      </x:c>
      <x:c r="M23" s="22" t="str"/>
      <x:c r="N23" s="23" t="str">
        <x:f>IF(D23="","Open",IF(F23="Not Applicable","N/A",IF(OR(H23="",H23="To be confirmed"),IF(G23="Required","Input required","Open"),IF(AND(G23="Required",I23=""),"Evidence needed","Complete"))))</x:f>
        <x:v>Open</x:v>
      </x:c>
      <x:c r="O23" s="21" t="str"/>
    </x:row>
    <x:row r="24" ht="24" hidden="0" customHeight="1">
      <x:c r="A24" s="20" t="str">
        <x:v>C-018</x:v>
      </x:c>
      <x:c r="B24" s="20" t="str">
        <x:v>Accounting</x:v>
      </x:c>
      <x:c r="C24" s="20" t="str">
        <x:v>Capital</x:v>
      </x:c>
      <x:c r="D24" s="21" t="str">
        <x:v>Non-standard accounting policy, valuation method or off-balance-sheet exposure</x:v>
      </x:c>
      <x:c r="E24" s="21" t="str">
        <x:v>Prevents misstatement of the capital baseline.</x:v>
      </x:c>
      <x:c r="F24" s="22" t="str">
        <x:v>To Confirm</x:v>
      </x:c>
      <x:c r="G24" s="22" t="str">
        <x:v>To Confirm</x:v>
      </x:c>
      <x:c r="H24" s="22" t="str"/>
      <x:c r="I24" s="22" t="str"/>
      <x:c r="J24" s="22" t="str"/>
      <x:c r="K24" s="22" t="str">
        <x:v>Manual entry</x:v>
      </x:c>
      <x:c r="L24" s="22" t="str">
        <x:v>Unknown</x:v>
      </x:c>
      <x:c r="M24" s="22" t="str"/>
      <x:c r="N24" s="23" t="str">
        <x:f>IF(D24="","Open",IF(F24="Not Applicable","N/A",IF(OR(H24="",H24="To be confirmed"),IF(G24="Required","Input required","Open"),IF(AND(G24="Required",I24=""),"Evidence needed","Complete"))))</x:f>
        <x:v>Open</x:v>
      </x:c>
      <x:c r="O24" s="21" t="str"/>
    </x:row>
    <x:row r="25" ht="24" hidden="0" customHeight="1">
      <x:c r="A25" s="20" t="str">
        <x:v>C-019</x:v>
      </x:c>
      <x:c r="B25" s="20" t="str">
        <x:v>Tax</x:v>
      </x:c>
      <x:c r="C25" s="20" t="str">
        <x:v>Capital</x:v>
      </x:c>
      <x:c r="D25" s="21" t="str">
        <x:v>Material enterprise-specific tax, duty or withholding exposure</x:v>
      </x:c>
      <x:c r="E25" s="21" t="str">
        <x:v>Models cash and capital effects.</x:v>
      </x:c>
      <x:c r="F25" s="22" t="str">
        <x:v>To Confirm</x:v>
      </x:c>
      <x:c r="G25" s="22" t="str">
        <x:v>To Confirm</x:v>
      </x:c>
      <x:c r="H25" s="22" t="str"/>
      <x:c r="I25" s="22" t="str"/>
      <x:c r="J25" s="22" t="str"/>
      <x:c r="K25" s="22" t="str">
        <x:v>Manual entry</x:v>
      </x:c>
      <x:c r="L25" s="22" t="str">
        <x:v>Unknown</x:v>
      </x:c>
      <x:c r="M25" s="22" t="str"/>
      <x:c r="N25" s="23" t="str">
        <x:f>IF(D25="","Open",IF(F25="Not Applicable","N/A",IF(OR(H25="",H25="To be confirmed"),IF(G25="Required","Input required","Open"),IF(AND(G25="Required",I25=""),"Evidence needed","Complete"))))</x:f>
        <x:v>Open</x:v>
      </x:c>
      <x:c r="O25" s="21" t="str"/>
    </x:row>
    <x:row r="26" ht="24" hidden="0" customHeight="1">
      <x:c r="A26" s="20" t="str">
        <x:v>C-020</x:v>
      </x:c>
      <x:c r="B26" s="20" t="str">
        <x:v>Reputation</x:v>
      </x:c>
      <x:c r="C26" s="20" t="str">
        <x:v>Merchants</x:v>
      </x:c>
      <x:c r="D26" s="21" t="str">
        <x:v>Brand, community or stakeholder dependency unique to the enterprise</x:v>
      </x:c>
      <x:c r="E26" s="21" t="str">
        <x:v>Adds non-financial pathways to commercial impact.</x:v>
      </x:c>
      <x:c r="F26" s="22" t="str">
        <x:v>To Confirm</x:v>
      </x:c>
      <x:c r="G26" s="22" t="str">
        <x:v>To Confirm</x:v>
      </x:c>
      <x:c r="H26" s="22" t="str"/>
      <x:c r="I26" s="22" t="str"/>
      <x:c r="J26" s="22" t="str"/>
      <x:c r="K26" s="22" t="str">
        <x:v>Manual entry</x:v>
      </x:c>
      <x:c r="L26" s="22" t="str">
        <x:v>Unknown</x:v>
      </x:c>
      <x:c r="M26" s="22" t="str"/>
      <x:c r="N26" s="23" t="str">
        <x:f>IF(D26="","Open",IF(F26="Not Applicable","N/A",IF(OR(H26="",H26="To be confirmed"),IF(G26="Required","Input required","Open"),IF(AND(G26="Required",I26=""),"Evidence needed","Complete"))))</x:f>
        <x:v>Open</x:v>
      </x:c>
      <x:c r="O26" s="21" t="str"/>
    </x:row>
    <x:row r="27" ht="15" hidden="0" customHeight="1">
      <x:c r="A27" s="20" t="str">
        <x:v>C-021</x:v>
      </x:c>
      <x:c r="B27" s="20" t="str">
        <x:v>Client-defined</x:v>
      </x:c>
      <x:c r="C27" s="20" t="str">
        <x:v>To Confirm</x:v>
      </x:c>
      <x:c r="D27" s="21" t="str"/>
      <x:c r="E27" s="21" t="str"/>
      <x:c r="F27" s="22" t="str">
        <x:v>To Confirm</x:v>
      </x:c>
      <x:c r="G27" s="22" t="str">
        <x:v>To Confirm</x:v>
      </x:c>
      <x:c r="H27" s="22" t="str"/>
      <x:c r="I27" s="22" t="str"/>
      <x:c r="J27" s="22" t="str"/>
      <x:c r="K27" s="22" t="str">
        <x:v>Manual entry</x:v>
      </x:c>
      <x:c r="L27" s="22" t="str">
        <x:v>Unknown</x:v>
      </x:c>
      <x:c r="M27" s="22" t="str"/>
      <x:c r="N27" s="23" t="str">
        <x:f>IF(D27="","Open",IF(F27="Not Applicable","N/A",IF(OR(H27="",H27="To be confirmed"),IF(G27="Required","Input required","Open"),IF(AND(G27="Required",I27=""),"Evidence needed","Complete"))))</x:f>
        <x:v>Open</x:v>
      </x:c>
      <x:c r="O27" s="21" t="str"/>
    </x:row>
    <x:row r="28" ht="15" hidden="0" customHeight="1">
      <x:c r="A28" s="20" t="str">
        <x:v>C-022</x:v>
      </x:c>
      <x:c r="B28" s="20" t="str">
        <x:v>Client-defined</x:v>
      </x:c>
      <x:c r="C28" s="20" t="str">
        <x:v>To Confirm</x:v>
      </x:c>
      <x:c r="D28" s="21" t="str"/>
      <x:c r="E28" s="21" t="str"/>
      <x:c r="F28" s="22" t="str">
        <x:v>To Confirm</x:v>
      </x:c>
      <x:c r="G28" s="22" t="str">
        <x:v>To Confirm</x:v>
      </x:c>
      <x:c r="H28" s="22" t="str"/>
      <x:c r="I28" s="22" t="str"/>
      <x:c r="J28" s="22" t="str"/>
      <x:c r="K28" s="22" t="str">
        <x:v>Manual entry</x:v>
      </x:c>
      <x:c r="L28" s="22" t="str">
        <x:v>Unknown</x:v>
      </x:c>
      <x:c r="M28" s="22" t="str"/>
      <x:c r="N28" s="23" t="str">
        <x:f>IF(D28="","Open",IF(F28="Not Applicable","N/A",IF(OR(H28="",H28="To be confirmed"),IF(G28="Required","Input required","Open"),IF(AND(G28="Required",I28=""),"Evidence needed","Complete"))))</x:f>
        <x:v>Open</x:v>
      </x:c>
      <x:c r="O28" s="21" t="str"/>
    </x:row>
    <x:row r="29" ht="15" hidden="0" customHeight="1">
      <x:c r="A29" s="20" t="str">
        <x:v>C-023</x:v>
      </x:c>
      <x:c r="B29" s="20" t="str">
        <x:v>Client-defined</x:v>
      </x:c>
      <x:c r="C29" s="20" t="str">
        <x:v>To Confirm</x:v>
      </x:c>
      <x:c r="D29" s="21" t="str"/>
      <x:c r="E29" s="21" t="str"/>
      <x:c r="F29" s="22" t="str">
        <x:v>To Confirm</x:v>
      </x:c>
      <x:c r="G29" s="22" t="str">
        <x:v>To Confirm</x:v>
      </x:c>
      <x:c r="H29" s="22" t="str"/>
      <x:c r="I29" s="22" t="str"/>
      <x:c r="J29" s="22" t="str"/>
      <x:c r="K29" s="22" t="str">
        <x:v>Manual entry</x:v>
      </x:c>
      <x:c r="L29" s="22" t="str">
        <x:v>Unknown</x:v>
      </x:c>
      <x:c r="M29" s="22" t="str"/>
      <x:c r="N29" s="23" t="str">
        <x:f>IF(D29="","Open",IF(F29="Not Applicable","N/A",IF(OR(H29="",H29="To be confirmed"),IF(G29="Required","Input required","Open"),IF(AND(G29="Required",I29=""),"Evidence needed","Complete"))))</x:f>
        <x:v>Open</x:v>
      </x:c>
      <x:c r="O29" s="21" t="str"/>
    </x:row>
    <x:row r="30" ht="15" hidden="0" customHeight="1">
      <x:c r="A30" s="20" t="str">
        <x:v>C-024</x:v>
      </x:c>
      <x:c r="B30" s="20" t="str">
        <x:v>Client-defined</x:v>
      </x:c>
      <x:c r="C30" s="20" t="str">
        <x:v>To Confirm</x:v>
      </x:c>
      <x:c r="D30" s="21" t="str"/>
      <x:c r="E30" s="21" t="str"/>
      <x:c r="F30" s="22" t="str">
        <x:v>To Confirm</x:v>
      </x:c>
      <x:c r="G30" s="22" t="str">
        <x:v>To Confirm</x:v>
      </x:c>
      <x:c r="H30" s="22" t="str"/>
      <x:c r="I30" s="22" t="str"/>
      <x:c r="J30" s="22" t="str"/>
      <x:c r="K30" s="22" t="str">
        <x:v>Manual entry</x:v>
      </x:c>
      <x:c r="L30" s="22" t="str">
        <x:v>Unknown</x:v>
      </x:c>
      <x:c r="M30" s="22" t="str"/>
      <x:c r="N30" s="23" t="str">
        <x:f>IF(D30="","Open",IF(F30="Not Applicable","N/A",IF(OR(H30="",H30="To be confirmed"),IF(G30="Required","Input required","Open"),IF(AND(G30="Required",I30=""),"Evidence needed","Complete"))))</x:f>
        <x:v>Open</x:v>
      </x:c>
      <x:c r="O30" s="21" t="str"/>
    </x:row>
    <x:row r="31" ht="15" hidden="0" customHeight="1">
      <x:c r="A31" s="20" t="str">
        <x:v>C-025</x:v>
      </x:c>
      <x:c r="B31" s="20" t="str">
        <x:v>Client-defined</x:v>
      </x:c>
      <x:c r="C31" s="20" t="str">
        <x:v>To Confirm</x:v>
      </x:c>
      <x:c r="D31" s="21" t="str"/>
      <x:c r="E31" s="21" t="str"/>
      <x:c r="F31" s="22" t="str">
        <x:v>To Confirm</x:v>
      </x:c>
      <x:c r="G31" s="22" t="str">
        <x:v>To Confirm</x:v>
      </x:c>
      <x:c r="H31" s="22" t="str"/>
      <x:c r="I31" s="22" t="str"/>
      <x:c r="J31" s="22" t="str"/>
      <x:c r="K31" s="22" t="str">
        <x:v>Manual entry</x:v>
      </x:c>
      <x:c r="L31" s="22" t="str">
        <x:v>Unknown</x:v>
      </x:c>
      <x:c r="M31" s="22" t="str"/>
      <x:c r="N31" s="23" t="str">
        <x:f>IF(D31="","Open",IF(F31="Not Applicable","N/A",IF(OR(H31="",H31="To be confirmed"),IF(G31="Required","Input required","Open"),IF(AND(G31="Required",I31=""),"Evidence needed","Complete"))))</x:f>
        <x:v>Open</x:v>
      </x:c>
      <x:c r="O31" s="21" t="str"/>
    </x:row>
    <x:row r="32" ht="15" hidden="0" customHeight="1">
      <x:c r="A32" s="20" t="str">
        <x:v>C-026</x:v>
      </x:c>
      <x:c r="B32" s="20" t="str">
        <x:v>Client-defined</x:v>
      </x:c>
      <x:c r="C32" s="20" t="str">
        <x:v>To Confirm</x:v>
      </x:c>
      <x:c r="D32" s="21" t="str"/>
      <x:c r="E32" s="21" t="str"/>
      <x:c r="F32" s="22" t="str">
        <x:v>To Confirm</x:v>
      </x:c>
      <x:c r="G32" s="22" t="str">
        <x:v>To Confirm</x:v>
      </x:c>
      <x:c r="H32" s="22" t="str"/>
      <x:c r="I32" s="22" t="str"/>
      <x:c r="J32" s="22" t="str"/>
      <x:c r="K32" s="22" t="str">
        <x:v>Manual entry</x:v>
      </x:c>
      <x:c r="L32" s="22" t="str">
        <x:v>Unknown</x:v>
      </x:c>
      <x:c r="M32" s="22" t="str"/>
      <x:c r="N32" s="23" t="str">
        <x:f>IF(D32="","Open",IF(F32="Not Applicable","N/A",IF(OR(H32="",H32="To be confirmed"),IF(G32="Required","Input required","Open"),IF(AND(G32="Required",I32=""),"Evidence needed","Complete"))))</x:f>
        <x:v>Open</x:v>
      </x:c>
      <x:c r="O32" s="21" t="str"/>
    </x:row>
    <x:row r="33" ht="15" hidden="0" customHeight="1">
      <x:c r="A33" s="20" t="str">
        <x:v>C-027</x:v>
      </x:c>
      <x:c r="B33" s="20" t="str">
        <x:v>Client-defined</x:v>
      </x:c>
      <x:c r="C33" s="20" t="str">
        <x:v>To Confirm</x:v>
      </x:c>
      <x:c r="D33" s="21" t="str"/>
      <x:c r="E33" s="21" t="str"/>
      <x:c r="F33" s="22" t="str">
        <x:v>To Confirm</x:v>
      </x:c>
      <x:c r="G33" s="22" t="str">
        <x:v>To Confirm</x:v>
      </x:c>
      <x:c r="H33" s="22" t="str"/>
      <x:c r="I33" s="22" t="str"/>
      <x:c r="J33" s="22" t="str"/>
      <x:c r="K33" s="22" t="str">
        <x:v>Manual entry</x:v>
      </x:c>
      <x:c r="L33" s="22" t="str">
        <x:v>Unknown</x:v>
      </x:c>
      <x:c r="M33" s="22" t="str"/>
      <x:c r="N33" s="23" t="str">
        <x:f>IF(D33="","Open",IF(F33="Not Applicable","N/A",IF(OR(H33="",H33="To be confirmed"),IF(G33="Required","Input required","Open"),IF(AND(G33="Required",I33=""),"Evidence needed","Complete"))))</x:f>
        <x:v>Open</x:v>
      </x:c>
      <x:c r="O33" s="21" t="str"/>
    </x:row>
    <x:row r="34" ht="15" hidden="0" customHeight="1">
      <x:c r="A34" s="20" t="str">
        <x:v>C-028</x:v>
      </x:c>
      <x:c r="B34" s="20" t="str">
        <x:v>Client-defined</x:v>
      </x:c>
      <x:c r="C34" s="20" t="str">
        <x:v>To Confirm</x:v>
      </x:c>
      <x:c r="D34" s="21" t="str"/>
      <x:c r="E34" s="21" t="str"/>
      <x:c r="F34" s="22" t="str">
        <x:v>To Confirm</x:v>
      </x:c>
      <x:c r="G34" s="22" t="str">
        <x:v>To Confirm</x:v>
      </x:c>
      <x:c r="H34" s="22" t="str"/>
      <x:c r="I34" s="22" t="str"/>
      <x:c r="J34" s="22" t="str"/>
      <x:c r="K34" s="22" t="str">
        <x:v>Manual entry</x:v>
      </x:c>
      <x:c r="L34" s="22" t="str">
        <x:v>Unknown</x:v>
      </x:c>
      <x:c r="M34" s="22" t="str"/>
      <x:c r="N34" s="23" t="str">
        <x:f>IF(D34="","Open",IF(F34="Not Applicable","N/A",IF(OR(H34="",H34="To be confirmed"),IF(G34="Required","Input required","Open"),IF(AND(G34="Required",I34=""),"Evidence needed","Complete"))))</x:f>
        <x:v>Open</x:v>
      </x:c>
      <x:c r="O34" s="21" t="str"/>
    </x:row>
    <x:row r="35" ht="15" hidden="0" customHeight="1">
      <x:c r="A35" s="20" t="str">
        <x:v>C-029</x:v>
      </x:c>
      <x:c r="B35" s="20" t="str">
        <x:v>Client-defined</x:v>
      </x:c>
      <x:c r="C35" s="20" t="str">
        <x:v>To Confirm</x:v>
      </x:c>
      <x:c r="D35" s="21" t="str"/>
      <x:c r="E35" s="21" t="str"/>
      <x:c r="F35" s="22" t="str">
        <x:v>To Confirm</x:v>
      </x:c>
      <x:c r="G35" s="22" t="str">
        <x:v>To Confirm</x:v>
      </x:c>
      <x:c r="H35" s="22" t="str"/>
      <x:c r="I35" s="22" t="str"/>
      <x:c r="J35" s="22" t="str"/>
      <x:c r="K35" s="22" t="str">
        <x:v>Manual entry</x:v>
      </x:c>
      <x:c r="L35" s="22" t="str">
        <x:v>Unknown</x:v>
      </x:c>
      <x:c r="M35" s="22" t="str"/>
      <x:c r="N35" s="23" t="str">
        <x:f>IF(D35="","Open",IF(F35="Not Applicable","N/A",IF(OR(H35="",H35="To be confirmed"),IF(G35="Required","Input required","Open"),IF(AND(G35="Required",I35=""),"Evidence needed","Complete"))))</x:f>
        <x:v>Open</x:v>
      </x:c>
      <x:c r="O35" s="21" t="str"/>
    </x:row>
    <x:row r="36" ht="15" hidden="0" customHeight="1">
      <x:c r="A36" s="20" t="str">
        <x:v>C-030</x:v>
      </x:c>
      <x:c r="B36" s="20" t="str">
        <x:v>Client-defined</x:v>
      </x:c>
      <x:c r="C36" s="20" t="str">
        <x:v>To Confirm</x:v>
      </x:c>
      <x:c r="D36" s="21" t="str"/>
      <x:c r="E36" s="21" t="str"/>
      <x:c r="F36" s="22" t="str">
        <x:v>To Confirm</x:v>
      </x:c>
      <x:c r="G36" s="22" t="str">
        <x:v>To Confirm</x:v>
      </x:c>
      <x:c r="H36" s="22" t="str"/>
      <x:c r="I36" s="22" t="str"/>
      <x:c r="J36" s="22" t="str"/>
      <x:c r="K36" s="22" t="str">
        <x:v>Manual entry</x:v>
      </x:c>
      <x:c r="L36" s="22" t="str">
        <x:v>Unknown</x:v>
      </x:c>
      <x:c r="M36" s="22" t="str"/>
      <x:c r="N36" s="23" t="str">
        <x:f>IF(D36="","Open",IF(F36="Not Applicable","N/A",IF(OR(H36="",H36="To be confirmed"),IF(G36="Required","Input required","Open"),IF(AND(G36="Required",I36=""),"Evidence needed","Complete"))))</x:f>
        <x:v>Open</x:v>
      </x:c>
      <x:c r="O36" s="21" t="str"/>
    </x:row>
    <x:row r="37" ht="15" hidden="0" customHeight="1">
      <x:c r="A37" s="20" t="str">
        <x:v>C-031</x:v>
      </x:c>
      <x:c r="B37" s="20" t="str">
        <x:v>Client-defined</x:v>
      </x:c>
      <x:c r="C37" s="20" t="str">
        <x:v>To Confirm</x:v>
      </x:c>
      <x:c r="D37" s="21" t="str"/>
      <x:c r="E37" s="21" t="str"/>
      <x:c r="F37" s="22" t="str">
        <x:v>To Confirm</x:v>
      </x:c>
      <x:c r="G37" s="22" t="str">
        <x:v>To Confirm</x:v>
      </x:c>
      <x:c r="H37" s="22" t="str"/>
      <x:c r="I37" s="22" t="str"/>
      <x:c r="J37" s="22" t="str"/>
      <x:c r="K37" s="22" t="str">
        <x:v>Manual entry</x:v>
      </x:c>
      <x:c r="L37" s="22" t="str">
        <x:v>Unknown</x:v>
      </x:c>
      <x:c r="M37" s="22" t="str"/>
      <x:c r="N37" s="23" t="str">
        <x:f>IF(D37="","Open",IF(F37="Not Applicable","N/A",IF(OR(H37="",H37="To be confirmed"),IF(G37="Required","Input required","Open"),IF(AND(G37="Required",I37=""),"Evidence needed","Complete"))))</x:f>
        <x:v>Open</x:v>
      </x:c>
      <x:c r="O37" s="21" t="str"/>
    </x:row>
    <x:row r="38" ht="15" hidden="0" customHeight="1">
      <x:c r="A38" s="20" t="str">
        <x:v>C-032</x:v>
      </x:c>
      <x:c r="B38" s="20" t="str">
        <x:v>Client-defined</x:v>
      </x:c>
      <x:c r="C38" s="20" t="str">
        <x:v>To Confirm</x:v>
      </x:c>
      <x:c r="D38" s="21" t="str"/>
      <x:c r="E38" s="21" t="str"/>
      <x:c r="F38" s="22" t="str">
        <x:v>To Confirm</x:v>
      </x:c>
      <x:c r="G38" s="22" t="str">
        <x:v>To Confirm</x:v>
      </x:c>
      <x:c r="H38" s="22" t="str"/>
      <x:c r="I38" s="22" t="str"/>
      <x:c r="J38" s="22" t="str"/>
      <x:c r="K38" s="22" t="str">
        <x:v>Manual entry</x:v>
      </x:c>
      <x:c r="L38" s="22" t="str">
        <x:v>Unknown</x:v>
      </x:c>
      <x:c r="M38" s="22" t="str"/>
      <x:c r="N38" s="23" t="str">
        <x:f>IF(D38="","Open",IF(F38="Not Applicable","N/A",IF(OR(H38="",H38="To be confirmed"),IF(G38="Required","Input required","Open"),IF(AND(G38="Required",I38=""),"Evidence needed","Complete"))))</x:f>
        <x:v>Open</x:v>
      </x:c>
      <x:c r="O38" s="21" t="str"/>
    </x:row>
    <x:row r="39" ht="15" hidden="0" customHeight="1">
      <x:c r="A39" s="20" t="str">
        <x:v>C-033</x:v>
      </x:c>
      <x:c r="B39" s="20" t="str">
        <x:v>Client-defined</x:v>
      </x:c>
      <x:c r="C39" s="20" t="str">
        <x:v>To Confirm</x:v>
      </x:c>
      <x:c r="D39" s="21" t="str"/>
      <x:c r="E39" s="21" t="str"/>
      <x:c r="F39" s="22" t="str">
        <x:v>To Confirm</x:v>
      </x:c>
      <x:c r="G39" s="22" t="str">
        <x:v>To Confirm</x:v>
      </x:c>
      <x:c r="H39" s="22" t="str"/>
      <x:c r="I39" s="22" t="str"/>
      <x:c r="J39" s="22" t="str"/>
      <x:c r="K39" s="22" t="str">
        <x:v>Manual entry</x:v>
      </x:c>
      <x:c r="L39" s="22" t="str">
        <x:v>Unknown</x:v>
      </x:c>
      <x:c r="M39" s="22" t="str"/>
      <x:c r="N39" s="23" t="str">
        <x:f>IF(D39="","Open",IF(F39="Not Applicable","N/A",IF(OR(H39="",H39="To be confirmed"),IF(G39="Required","Input required","Open"),IF(AND(G39="Required",I39=""),"Evidence needed","Complete"))))</x:f>
        <x:v>Open</x:v>
      </x:c>
      <x:c r="O39" s="21" t="str"/>
    </x:row>
    <x:row r="40" ht="15" hidden="0" customHeight="1">
      <x:c r="A40" s="20" t="str">
        <x:v>C-034</x:v>
      </x:c>
      <x:c r="B40" s="20" t="str">
        <x:v>Client-defined</x:v>
      </x:c>
      <x:c r="C40" s="20" t="str">
        <x:v>To Confirm</x:v>
      </x:c>
      <x:c r="D40" s="21" t="str"/>
      <x:c r="E40" s="21" t="str"/>
      <x:c r="F40" s="22" t="str">
        <x:v>To Confirm</x:v>
      </x:c>
      <x:c r="G40" s="22" t="str">
        <x:v>To Confirm</x:v>
      </x:c>
      <x:c r="H40" s="22" t="str"/>
      <x:c r="I40" s="22" t="str"/>
      <x:c r="J40" s="22" t="str"/>
      <x:c r="K40" s="22" t="str">
        <x:v>Manual entry</x:v>
      </x:c>
      <x:c r="L40" s="22" t="str">
        <x:v>Unknown</x:v>
      </x:c>
      <x:c r="M40" s="22" t="str"/>
      <x:c r="N40" s="23" t="str">
        <x:f>IF(D40="","Open",IF(F40="Not Applicable","N/A",IF(OR(H40="",H40="To be confirmed"),IF(G40="Required","Input required","Open"),IF(AND(G40="Required",I40=""),"Evidence needed","Complete"))))</x:f>
        <x:v>Open</x:v>
      </x:c>
      <x:c r="O40" s="21" t="str"/>
    </x:row>
    <x:row r="41" ht="15" hidden="0" customHeight="1">
      <x:c r="A41" s="20" t="str">
        <x:v>C-035</x:v>
      </x:c>
      <x:c r="B41" s="20" t="str">
        <x:v>Client-defined</x:v>
      </x:c>
      <x:c r="C41" s="20" t="str">
        <x:v>To Confirm</x:v>
      </x:c>
      <x:c r="D41" s="21" t="str"/>
      <x:c r="E41" s="21" t="str"/>
      <x:c r="F41" s="22" t="str">
        <x:v>To Confirm</x:v>
      </x:c>
      <x:c r="G41" s="22" t="str">
        <x:v>To Confirm</x:v>
      </x:c>
      <x:c r="H41" s="22" t="str"/>
      <x:c r="I41" s="22" t="str"/>
      <x:c r="J41" s="22" t="str"/>
      <x:c r="K41" s="22" t="str">
        <x:v>Manual entry</x:v>
      </x:c>
      <x:c r="L41" s="22" t="str">
        <x:v>Unknown</x:v>
      </x:c>
      <x:c r="M41" s="22" t="str"/>
      <x:c r="N41" s="23" t="str">
        <x:f>IF(D41="","Open",IF(F41="Not Applicable","N/A",IF(OR(H41="",H41="To be confirmed"),IF(G41="Required","Input required","Open"),IF(AND(G41="Required",I41=""),"Evidence needed","Complete"))))</x:f>
        <x:v>Open</x:v>
      </x:c>
      <x:c r="O41" s="21" t="str"/>
    </x:row>
  </x:sheetData>
  <x:conditionalFormatting sqref="N7:N41">
    <x:cfRule type="containsText" dxfId="6" priority="1" operator="containsText" text="Complete"/>
    <x:cfRule type="containsText" dxfId="7" priority="2" operator="containsText" text="Input required"/>
    <x:cfRule type="containsText" dxfId="8" priority="3" operator="containsText" text="Evidence needed"/>
  </x:conditionalFormatting>
  <x:dataValidations count="4">
    <x:dataValidation type="list" sqref="F7:F41">
      <x:formula1>"Applicable,Not Applicable,To Confirm"</x:formula1>
    </x:dataValidation>
    <x:dataValidation type="list" sqref="G7:G41">
      <x:formula1>"Required,Optional,To Confirm"</x:formula1>
    </x:dataValidation>
    <x:dataValidation type="list" sqref="K7:K41">
      <x:formula1>"Manual entry,API read-only,Secure file transfer,Database read replica,Portal export,Evidence upload,Not collected"</x:formula1>
    </x:dataValidation>
    <x:dataValidation type="list" sqref="L7:L41">
      <x:formula1>"No,Yes,Sensitive,Unknown"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9558ea46b645bb"/>
  </x:tableParts>
</x:worksheet>
</file>